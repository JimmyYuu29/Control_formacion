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6a2ed62d12d53eb/Desktop/Espacio compartido/Control_formacion/Ejemplo/"/>
    </mc:Choice>
  </mc:AlternateContent>
  <xr:revisionPtr revIDLastSave="1" documentId="13_ncr:1_{0A81073D-E259-4105-B6F8-0000AD633E60}" xr6:coauthVersionLast="47" xr6:coauthVersionMax="47" xr10:uidLastSave="{AE087EE0-D309-4E48-A360-A51E6F280B17}"/>
  <bookViews>
    <workbookView xWindow="28680" yWindow="-120" windowWidth="29040" windowHeight="16440" xr2:uid="{00000000-000D-0000-FFFF-FFFF00000000}"/>
  </bookViews>
  <sheets>
    <sheet name="Resumen Calificaciones" sheetId="8" r:id="rId1"/>
    <sheet name="Tutores --&gt;" sheetId="3" r:id="rId2"/>
    <sheet name="APG" sheetId="4" r:id="rId3"/>
    <sheet name="JBV" sheetId="7" r:id="rId4"/>
    <sheet name="MGP" sheetId="5" r:id="rId5"/>
    <sheet name="OHL" sheetId="6" r:id="rId6"/>
  </sheets>
  <definedNames>
    <definedName name="_xlnm._FilterDatabase" localSheetId="0" hidden="1">'Resumen Calificaciones'!$D$4:$BR$13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8" l="1"/>
  <c r="X13" i="8"/>
  <c r="AZ13" i="8" s="1"/>
  <c r="X12" i="8"/>
  <c r="AZ12" i="8" s="1"/>
  <c r="BH12" i="8" s="1"/>
  <c r="X11" i="8"/>
  <c r="AZ11" i="8" s="1"/>
  <c r="BH11" i="8" s="1"/>
  <c r="AA10" i="8"/>
  <c r="X10" i="8"/>
  <c r="BB10" i="8" s="1"/>
  <c r="W10" i="8"/>
  <c r="AW9" i="8"/>
  <c r="AA9" i="8"/>
  <c r="X9" i="8"/>
  <c r="BB9" i="8" s="1"/>
  <c r="W9" i="8"/>
  <c r="AX8" i="8"/>
  <c r="AW8" i="8"/>
  <c r="X8" i="8"/>
  <c r="BB8" i="8" s="1"/>
  <c r="W8" i="8"/>
  <c r="AW7" i="8"/>
  <c r="AA7" i="8"/>
  <c r="X7" i="8"/>
  <c r="BB7" i="8" s="1"/>
  <c r="W7" i="8"/>
  <c r="AA6" i="8"/>
  <c r="X6" i="8"/>
  <c r="BB6" i="8" s="1"/>
  <c r="W6" i="8"/>
  <c r="AA5" i="8"/>
  <c r="X5" i="8"/>
  <c r="BB5" i="8" s="1"/>
  <c r="W5" i="8"/>
  <c r="AT14" i="7"/>
  <c r="Z14" i="7"/>
  <c r="AW14" i="7" s="1"/>
  <c r="W14" i="7"/>
  <c r="V14" i="7"/>
  <c r="Z12" i="7"/>
  <c r="AW12" i="7" s="1"/>
  <c r="W12" i="7"/>
  <c r="V12" i="7"/>
  <c r="AW18" i="5"/>
  <c r="Z18" i="5"/>
  <c r="W18" i="5"/>
  <c r="Z16" i="5"/>
  <c r="AW16" i="5" s="1"/>
  <c r="W16" i="5"/>
  <c r="V16" i="5"/>
  <c r="AT14" i="5"/>
  <c r="Z14" i="5"/>
  <c r="AW14" i="5" s="1"/>
  <c r="W14" i="5"/>
  <c r="V14" i="5"/>
  <c r="AU12" i="5"/>
  <c r="AW12" i="5" s="1"/>
  <c r="AT12" i="5"/>
  <c r="W12" i="5"/>
  <c r="V12" i="5"/>
  <c r="Z14" i="4"/>
  <c r="AW14" i="4" s="1"/>
  <c r="W14" i="4"/>
  <c r="W12" i="4"/>
  <c r="AW12" i="4" s="1"/>
  <c r="BE12" i="4" s="1"/>
  <c r="AZ5" i="8" l="1"/>
  <c r="AZ9" i="8"/>
  <c r="AZ8" i="8"/>
  <c r="BH8" i="8" s="1"/>
  <c r="AZ10" i="8"/>
  <c r="AZ6" i="8"/>
  <c r="AZ7" i="8"/>
  <c r="BH7" i="8" s="1"/>
</calcChain>
</file>

<file path=xl/sharedStrings.xml><?xml version="1.0" encoding="utf-8"?>
<sst xmlns="http://schemas.openxmlformats.org/spreadsheetml/2006/main" count="541" uniqueCount="114">
  <si>
    <t>?</t>
  </si>
  <si>
    <t>P</t>
  </si>
  <si>
    <t>Nota Formación</t>
  </si>
  <si>
    <t>CTP</t>
  </si>
  <si>
    <t>Nota CTP</t>
  </si>
  <si>
    <t xml:space="preserve">BLOQUE 1- ENTENDIMIENTO </t>
  </si>
  <si>
    <t>BLOQUE 2- CONTROLES Y RIESGOS</t>
  </si>
  <si>
    <t>BLOQUE 3- D&amp;I</t>
  </si>
  <si>
    <t>BLOQUE 4- FRAUDE</t>
  </si>
  <si>
    <t>Not Compliant 
¿SOLVENTADO?</t>
  </si>
  <si>
    <t>BLOQUE 1- TOE AMRA/KAM</t>
  </si>
  <si>
    <t>BLOQUE 2- ESPECIALISTAS/EXPERTOS</t>
  </si>
  <si>
    <t>BLOQUE 3- CIRCULARIZACIÓN</t>
  </si>
  <si>
    <t>BLOQUE 4- MUESTREO</t>
  </si>
  <si>
    <t>Nota INFLIGHT</t>
  </si>
  <si>
    <t>Nota INFLIGHT AJUSTADA</t>
  </si>
  <si>
    <t>Firma</t>
  </si>
  <si>
    <t>NOTA EVALUACIÓN</t>
  </si>
  <si>
    <t>Colaborador CTP</t>
  </si>
  <si>
    <t>Colaborador Formación</t>
  </si>
  <si>
    <t>Grupo RCA</t>
  </si>
  <si>
    <t>Falta/Retraso de colaboración</t>
  </si>
  <si>
    <t>Hojas de tiempo</t>
  </si>
  <si>
    <t>NOTA FINAL CALIDAD</t>
  </si>
  <si>
    <t>ASPECTOS IDENTIFICADOS</t>
  </si>
  <si>
    <t>Profesional</t>
  </si>
  <si>
    <t>DNI</t>
  </si>
  <si>
    <t>MAIL</t>
  </si>
  <si>
    <t>Tutor</t>
  </si>
  <si>
    <t>Auditoría - Actualización Técnica</t>
  </si>
  <si>
    <t>Resultados CTP 2023-2024 Parte 1 de 2</t>
  </si>
  <si>
    <t>Resultados CTP 2023-2024 Parte 2 de 2</t>
  </si>
  <si>
    <t>Curso: Muestreo de Auditoría 1 - Pruebas de Controles</t>
  </si>
  <si>
    <t>Curso: Muestreo de Auditoría 2 - Pruebas de Detalle</t>
  </si>
  <si>
    <t>Curso: Muestreo de Auditoría 3 - Muestreo de Atributos</t>
  </si>
  <si>
    <t>Curso: NIA-320 Y 450 para reforzar conceptos de Materialidad</t>
  </si>
  <si>
    <t>Curso: Inventarios 2023</t>
  </si>
  <si>
    <t>Curso: Circularización 2023</t>
  </si>
  <si>
    <t>Curso: Journal Entries Testing</t>
  </si>
  <si>
    <t>Curso: MAM - Fraude en la Auditoría de los Estados Financieros</t>
  </si>
  <si>
    <t>Curso: Metodología Partes Vinculadas y SCC</t>
  </si>
  <si>
    <t>Onboarding</t>
  </si>
  <si>
    <t>CTP 23/24</t>
  </si>
  <si>
    <t>Seguimiento 
Rojos/Naranjas</t>
  </si>
  <si>
    <t>ENTENDIMIENTO</t>
  </si>
  <si>
    <t>WT</t>
  </si>
  <si>
    <t>IDENTIFICACIÓN RIESGOS</t>
  </si>
  <si>
    <t>IDENTIFICACIÓN CONTROLES</t>
  </si>
  <si>
    <t>EVALUACIÓN DISEÑO</t>
  </si>
  <si>
    <t>EVALUACIÓN IMPLEMENTACIÓN</t>
  </si>
  <si>
    <t>JUSTIFICACIÓN</t>
  </si>
  <si>
    <t>ANÁLISIS</t>
  </si>
  <si>
    <t>DESCRIPCIÓN ACTIVIDAD DE CONTROL</t>
  </si>
  <si>
    <t xml:space="preserve">	EVIDENCIA EFICACIA OPERATIVA</t>
  </si>
  <si>
    <t>MUESTRA</t>
  </si>
  <si>
    <t xml:space="preserve"> INFORME
 FIRMADO</t>
  </si>
  <si>
    <t>EVIDENCIA REVISION EQUIPO
 DEL ENCARGO</t>
  </si>
  <si>
    <t>CLIENTES-CONTROL</t>
  </si>
  <si>
    <t>CLIENTES-ALTERNATIVOS</t>
  </si>
  <si>
    <t>ASESORES-CONTROL</t>
  </si>
  <si>
    <t>ASESORES-ACTUALIZACIÓN</t>
  </si>
  <si>
    <t>CUMPLIMENTACIÓN PLANTILLAS</t>
  </si>
  <si>
    <t>COHERENCIA/
ALCANCE</t>
  </si>
  <si>
    <t>comprobación formula</t>
  </si>
  <si>
    <t>NA</t>
  </si>
  <si>
    <t>N/A</t>
  </si>
  <si>
    <t>SI</t>
  </si>
  <si>
    <t>Óscar Herranz</t>
  </si>
  <si>
    <t>X</t>
  </si>
  <si>
    <t>Juan Berral</t>
  </si>
  <si>
    <t>María Grande</t>
  </si>
  <si>
    <t>Maria Grande</t>
  </si>
  <si>
    <t>36077398N</t>
  </si>
  <si>
    <t>maria.grande@forvismazars.com</t>
  </si>
  <si>
    <r>
      <rPr>
        <b/>
        <sz val="11"/>
        <color rgb="FF00B050"/>
        <rFont val="Calibri"/>
        <family val="2"/>
        <scheme val="minor"/>
      </rPr>
      <t>COLABORACIÓN DEPARTAMENTO CALIDAD:</t>
    </r>
    <r>
      <rPr>
        <sz val="11"/>
        <color rgb="FF00B050"/>
        <rFont val="Calibri"/>
        <family val="2"/>
        <scheme val="minor"/>
      </rPr>
      <t xml:space="preserve">
- Participación en el Grupo RCA</t>
    </r>
  </si>
  <si>
    <t>María Gregorio</t>
  </si>
  <si>
    <t>Ana Pidal</t>
  </si>
  <si>
    <t>Marcos Ríos</t>
  </si>
  <si>
    <t>Marcos Rios</t>
  </si>
  <si>
    <t>53311194T</t>
  </si>
  <si>
    <t>marcos.rios@forvismazars.com</t>
  </si>
  <si>
    <t>Miguel Antelo</t>
  </si>
  <si>
    <t>36149295B</t>
  </si>
  <si>
    <t>miguel.antelo@forvismazars.com</t>
  </si>
  <si>
    <r>
      <rPr>
        <b/>
        <sz val="11"/>
        <color theme="1"/>
        <rFont val="Calibri"/>
        <family val="2"/>
        <scheme val="minor"/>
      </rPr>
      <t>INFLIGHT REVIEW:</t>
    </r>
    <r>
      <rPr>
        <sz val="11"/>
        <color theme="1"/>
        <rFont val="Calibri"/>
        <family val="2"/>
        <scheme val="minor"/>
      </rPr>
      <t xml:space="preserve"> Se identifican los siguientes aspectos revisado como </t>
    </r>
    <r>
      <rPr>
        <b/>
        <sz val="11"/>
        <color theme="1"/>
        <rFont val="Calibri"/>
        <family val="2"/>
        <scheme val="minor"/>
      </rPr>
      <t>NOT COMPLIANT</t>
    </r>
    <r>
      <rPr>
        <sz val="11"/>
        <color theme="1"/>
        <rFont val="Calibri"/>
        <family val="2"/>
        <scheme val="minor"/>
      </rPr>
      <t xml:space="preserve">:
- Identificación de controles relevantes para los riesgos significativos.
- Justificación riesgo de fraude en reconocimiento de ingresos.
 </t>
    </r>
    <r>
      <rPr>
        <b/>
        <sz val="11"/>
        <color theme="1"/>
        <rFont val="Calibri"/>
        <family val="2"/>
        <scheme val="minor"/>
      </rPr>
      <t>Dado que los aspectos han sido subsanados antes de la emisión del informe la nota ajustada de INFLIGHT se considera de "CUMPLE EXPECTATIVAS"</t>
    </r>
  </si>
  <si>
    <r>
      <rPr>
        <b/>
        <sz val="11"/>
        <color theme="1"/>
        <rFont val="Calibri"/>
        <family val="2"/>
        <scheme val="minor"/>
      </rPr>
      <t>CARGA DE HORAS :</t>
    </r>
    <r>
      <rPr>
        <sz val="11"/>
        <color theme="1"/>
        <rFont val="Calibri"/>
        <family val="2"/>
        <scheme val="minor"/>
      </rPr>
      <t xml:space="preserve"> Retraso de +11 días en el registro de horas en in time</t>
    </r>
  </si>
  <si>
    <t>Angela Montilla</t>
  </si>
  <si>
    <t>Angela Maria Montilla</t>
  </si>
  <si>
    <t>53495183N</t>
  </si>
  <si>
    <t>angelamaria.montilla@forvismazars.com</t>
  </si>
  <si>
    <r>
      <t xml:space="preserve">COLABORACIÓN DEPARTAMENTO CALIDAD:
-  Colaborador CTP 
</t>
    </r>
    <r>
      <rPr>
        <b/>
        <sz val="11"/>
        <color theme="1"/>
        <rFont val="Calibri"/>
        <family val="2"/>
        <scheme val="minor"/>
      </rPr>
      <t xml:space="preserve">
CARGA DE HORAS: Retraso de +11 días en el registro de horas en in time
</t>
    </r>
  </si>
  <si>
    <t>Iria Martinez</t>
  </si>
  <si>
    <t>51476021C</t>
  </si>
  <si>
    <t>iria.martinez@forvismazars.com</t>
  </si>
  <si>
    <r>
      <rPr>
        <b/>
        <sz val="11"/>
        <color rgb="FF00B050"/>
        <rFont val="Calibri"/>
        <family val="2"/>
        <scheme val="minor"/>
      </rPr>
      <t>COLABORACIÓN DEPARTAMENTO CALIDAD:</t>
    </r>
    <r>
      <rPr>
        <sz val="11"/>
        <color rgb="FF00B050"/>
        <rFont val="Calibri"/>
        <family val="2"/>
        <scheme val="minor"/>
      </rPr>
      <t xml:space="preserve">
- Participacion en formación resultados CTPs
</t>
    </r>
    <r>
      <rPr>
        <b/>
        <sz val="11"/>
        <color theme="1"/>
        <rFont val="Calibri"/>
        <family val="2"/>
        <scheme val="minor"/>
      </rPr>
      <t xml:space="preserve">CARGA DE HORAS: </t>
    </r>
    <r>
      <rPr>
        <sz val="11"/>
        <color theme="1"/>
        <rFont val="Calibri"/>
        <family val="2"/>
        <scheme val="minor"/>
      </rPr>
      <t>Retraso de +11 días en el registro de horas en in time</t>
    </r>
  </si>
  <si>
    <t>Mairim Zambrano</t>
  </si>
  <si>
    <t>60033234Z</t>
  </si>
  <si>
    <t>mairim.zambrano@forvismazars.com</t>
  </si>
  <si>
    <r>
      <rPr>
        <b/>
        <sz val="11"/>
        <color theme="1"/>
        <rFont val="Calibri"/>
        <family val="2"/>
        <scheme val="minor"/>
      </rPr>
      <t>FORMACIÓN DECLARADA:</t>
    </r>
    <r>
      <rPr>
        <sz val="11"/>
        <color theme="1"/>
        <rFont val="Calibri"/>
        <family val="2"/>
        <scheme val="minor"/>
      </rPr>
      <t xml:space="preserve"> No cumple con formación declara al ICAC FY 23-24 &lt;&gt; 39h 
</t>
    </r>
    <r>
      <rPr>
        <b/>
        <sz val="11"/>
        <color theme="1"/>
        <rFont val="Calibri"/>
        <family val="2"/>
        <scheme val="minor"/>
      </rPr>
      <t>CARGA DE HORAS :</t>
    </r>
    <r>
      <rPr>
        <sz val="11"/>
        <color theme="1"/>
        <rFont val="Calibri"/>
        <family val="2"/>
        <scheme val="minor"/>
      </rPr>
      <t xml:space="preserve"> Retraso de +11 días en el registro de horas en in time</t>
    </r>
  </si>
  <si>
    <t>MARTA GUADALUPE RODRIGUEZ DOMINGUEZ</t>
  </si>
  <si>
    <t>48200292C</t>
  </si>
  <si>
    <t>marta.rodriguez@forvismazars.com</t>
  </si>
  <si>
    <t>JOSE ANTONIO ANDUJAR FERNANDEZ</t>
  </si>
  <si>
    <t>70588028Q</t>
  </si>
  <si>
    <t>joseantonio.andujar@forvismazars.com</t>
  </si>
  <si>
    <t>SOFIA ESTOPIÑAN MILIÁN</t>
  </si>
  <si>
    <t>73107401S</t>
  </si>
  <si>
    <t>sofia.estopinan@forvismazars.com</t>
  </si>
  <si>
    <t>No aplicable</t>
  </si>
  <si>
    <t>Nuevas incorporaciones</t>
  </si>
  <si>
    <t xml:space="preserve">Si cumple las 40 horas de formación anual y solo ha faltado 1 curso y no es ninguno de los nuestros --- evaluamos como ok </t>
  </si>
  <si>
    <t>CLIENTES</t>
  </si>
  <si>
    <t>ASESORES</t>
  </si>
  <si>
    <t>Jose Antonio Andujar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</si>
</sst>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b/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50"/>
      <name val="Wingdings 2"/>
      <family val="1"/>
      <charset val="2"/>
    </font>
    <font>
      <b/>
      <sz val="14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Wingdings 2"/>
      <family val="1"/>
      <charset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gray125">
        <bgColor theme="6" tint="0.39994506668294322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 wrapText="1"/>
    </xf>
    <xf numFmtId="0" fontId="4" fillId="13" borderId="15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5" xfId="0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0" fontId="8" fillId="13" borderId="17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0" fillId="7" borderId="18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0" borderId="18" xfId="0" applyNumberFormat="1" applyFont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14" borderId="0" xfId="0" applyFont="1" applyFill="1" applyAlignment="1">
      <alignment horizontal="center" vertical="center"/>
    </xf>
    <xf numFmtId="2" fontId="3" fillId="0" borderId="13" xfId="0" applyNumberFormat="1" applyFont="1" applyBorder="1"/>
    <xf numFmtId="0" fontId="0" fillId="0" borderId="0" xfId="0" applyAlignment="1">
      <alignment vertical="center"/>
    </xf>
    <xf numFmtId="0" fontId="0" fillId="14" borderId="13" xfId="0" applyFill="1" applyBorder="1" applyAlignment="1">
      <alignment horizontal="center" vertical="center"/>
    </xf>
    <xf numFmtId="2" fontId="0" fillId="0" borderId="0" xfId="0" applyNumberFormat="1"/>
    <xf numFmtId="2" fontId="3" fillId="0" borderId="21" xfId="0" applyNumberFormat="1" applyFont="1" applyBorder="1" applyAlignment="1">
      <alignment horizontal="center"/>
    </xf>
    <xf numFmtId="0" fontId="0" fillId="15" borderId="19" xfId="0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/>
    </xf>
    <xf numFmtId="2" fontId="3" fillId="16" borderId="2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10" fillId="17" borderId="18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0" fontId="0" fillId="18" borderId="18" xfId="0" applyFill="1" applyBorder="1" applyAlignment="1">
      <alignment horizontal="center" vertical="center"/>
    </xf>
    <xf numFmtId="0" fontId="11" fillId="4" borderId="20" xfId="0" applyFont="1" applyFill="1" applyBorder="1" applyAlignment="1">
      <alignment horizontal="left" vertical="center" wrapText="1"/>
    </xf>
    <xf numFmtId="0" fontId="0" fillId="2" borderId="18" xfId="0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4" borderId="20" xfId="0" applyFill="1" applyBorder="1" applyAlignment="1">
      <alignment horizontal="left" vertical="center" wrapText="1"/>
    </xf>
    <xf numFmtId="0" fontId="0" fillId="19" borderId="18" xfId="0" applyFill="1" applyBorder="1" applyAlignment="1">
      <alignment horizontal="left" vertical="center"/>
    </xf>
    <xf numFmtId="0" fontId="13" fillId="4" borderId="20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4" borderId="23" xfId="0" applyFont="1" applyFill="1" applyBorder="1" applyAlignment="1">
      <alignment vertical="center" wrapText="1"/>
    </xf>
    <xf numFmtId="164" fontId="0" fillId="0" borderId="0" xfId="0" applyNumberFormat="1" applyAlignment="1">
      <alignment horizontal="right"/>
    </xf>
    <xf numFmtId="1" fontId="3" fillId="0" borderId="0" xfId="0" applyNumberFormat="1" applyFont="1"/>
    <xf numFmtId="1" fontId="0" fillId="0" borderId="0" xfId="0" applyNumberFormat="1"/>
    <xf numFmtId="4" fontId="3" fillId="0" borderId="0" xfId="0" applyNumberFormat="1" applyFont="1"/>
    <xf numFmtId="0" fontId="0" fillId="2" borderId="13" xfId="0" applyFill="1" applyBorder="1"/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19" borderId="18" xfId="0" applyFill="1" applyBorder="1" applyAlignment="1">
      <alignment horizontal="left" vertical="center" wrapText="1"/>
    </xf>
    <xf numFmtId="0" fontId="0" fillId="19" borderId="18" xfId="0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0" fillId="20" borderId="18" xfId="0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20" borderId="0" xfId="0" applyFill="1" applyAlignment="1">
      <alignment horizontal="left" vertical="center"/>
    </xf>
    <xf numFmtId="0" fontId="0" fillId="20" borderId="19" xfId="0" applyFill="1" applyBorder="1" applyAlignment="1">
      <alignment horizontal="center" vertical="center"/>
    </xf>
    <xf numFmtId="0" fontId="3" fillId="20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1" fillId="20" borderId="18" xfId="0" applyFont="1" applyFill="1" applyBorder="1" applyAlignment="1">
      <alignment horizontal="left" vertical="center" wrapText="1"/>
    </xf>
    <xf numFmtId="0" fontId="4" fillId="13" borderId="5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 wrapText="1"/>
    </xf>
    <xf numFmtId="0" fontId="4" fillId="13" borderId="15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3" borderId="16" xfId="0" applyFont="1" applyFill="1" applyBorder="1" applyAlignment="1">
      <alignment horizontal="left" vertical="center" wrapText="1"/>
    </xf>
    <xf numFmtId="0" fontId="4" fillId="13" borderId="17" xfId="0" applyFont="1" applyFill="1" applyBorder="1" applyAlignment="1">
      <alignment horizontal="left" vertical="center" wrapText="1"/>
    </xf>
    <xf numFmtId="0" fontId="14" fillId="19" borderId="18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 wrapText="1"/>
    </xf>
    <xf numFmtId="0" fontId="14" fillId="0" borderId="18" xfId="0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20" borderId="18" xfId="0" applyFont="1" applyFill="1" applyBorder="1" applyAlignment="1">
      <alignment horizontal="left" vertical="center" wrapText="1"/>
    </xf>
    <xf numFmtId="0" fontId="14" fillId="0" borderId="0" xfId="0" applyFont="1"/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20" borderId="19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2" fontId="16" fillId="20" borderId="18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1" fillId="20" borderId="18" xfId="0" applyFont="1" applyFill="1" applyBorder="1" applyAlignment="1">
      <alignment vertical="center" wrapText="1"/>
    </xf>
    <xf numFmtId="0" fontId="0" fillId="20" borderId="18" xfId="0" applyFill="1" applyBorder="1" applyAlignment="1">
      <alignment horizontal="left" vertical="center" wrapText="1"/>
    </xf>
    <xf numFmtId="0" fontId="14" fillId="19" borderId="18" xfId="0" applyFont="1" applyFill="1" applyBorder="1" applyAlignment="1">
      <alignment horizontal="left" vertical="center" wrapText="1"/>
    </xf>
    <xf numFmtId="0" fontId="5" fillId="13" borderId="5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5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20" fillId="13" borderId="17" xfId="0" applyFont="1" applyFill="1" applyBorder="1" applyAlignment="1">
      <alignment horizontal="center" vertical="center" wrapText="1"/>
    </xf>
    <xf numFmtId="1" fontId="21" fillId="0" borderId="18" xfId="0" applyNumberFormat="1" applyFont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1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23" fillId="20" borderId="19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20" borderId="18" xfId="0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</cellXfs>
  <cellStyles count="1">
    <cellStyle name="Normal" xfId="0" builtinId="0"/>
  </cellStyles>
  <dxfs count="297"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BD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b/>
        <i val="0"/>
        <color rgb="FFFF0000"/>
      </font>
      <fill>
        <patternFill>
          <bgColor rgb="FFFFABAB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>
          <bgColor rgb="FFFFA3A3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771526</xdr:colOff>
      <xdr:row>2</xdr:row>
      <xdr:rowOff>47625</xdr:rowOff>
    </xdr:from>
    <xdr:to>
      <xdr:col>58</xdr:col>
      <xdr:colOff>66676</xdr:colOff>
      <xdr:row>7</xdr:row>
      <xdr:rowOff>95250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68BB63CD-91F9-4C8C-8559-EDAE1EC170CA}"/>
            </a:ext>
          </a:extLst>
        </xdr:cNvPr>
        <xdr:cNvSpPr/>
      </xdr:nvSpPr>
      <xdr:spPr>
        <a:xfrm>
          <a:off x="17383125" y="411480"/>
          <a:ext cx="1226821" cy="946785"/>
        </a:xfrm>
        <a:prstGeom prst="downArrow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771526</xdr:colOff>
      <xdr:row>2</xdr:row>
      <xdr:rowOff>47625</xdr:rowOff>
    </xdr:from>
    <xdr:to>
      <xdr:col>57</xdr:col>
      <xdr:colOff>66676</xdr:colOff>
      <xdr:row>7</xdr:row>
      <xdr:rowOff>95250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AF532A06-CB6A-4DE7-AED3-C8E63FDC5DD4}"/>
            </a:ext>
          </a:extLst>
        </xdr:cNvPr>
        <xdr:cNvSpPr/>
      </xdr:nvSpPr>
      <xdr:spPr>
        <a:xfrm>
          <a:off x="25528906" y="411480"/>
          <a:ext cx="1015365" cy="946785"/>
        </a:xfrm>
        <a:prstGeom prst="downArrow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771526</xdr:colOff>
      <xdr:row>2</xdr:row>
      <xdr:rowOff>47625</xdr:rowOff>
    </xdr:from>
    <xdr:to>
      <xdr:col>57</xdr:col>
      <xdr:colOff>66676</xdr:colOff>
      <xdr:row>7</xdr:row>
      <xdr:rowOff>95250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A386DBF2-64EC-4CA8-B413-3BE2725AA733}"/>
            </a:ext>
          </a:extLst>
        </xdr:cNvPr>
        <xdr:cNvSpPr/>
      </xdr:nvSpPr>
      <xdr:spPr>
        <a:xfrm>
          <a:off x="26995756" y="411480"/>
          <a:ext cx="1091565" cy="946785"/>
        </a:xfrm>
        <a:prstGeom prst="downArrow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771526</xdr:colOff>
      <xdr:row>2</xdr:row>
      <xdr:rowOff>47625</xdr:rowOff>
    </xdr:from>
    <xdr:to>
      <xdr:col>57</xdr:col>
      <xdr:colOff>66676</xdr:colOff>
      <xdr:row>7</xdr:row>
      <xdr:rowOff>95250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FB893321-5A51-4468-8A0A-6EEDD0A7664F}"/>
            </a:ext>
          </a:extLst>
        </xdr:cNvPr>
        <xdr:cNvSpPr/>
      </xdr:nvSpPr>
      <xdr:spPr>
        <a:xfrm>
          <a:off x="15594331" y="411480"/>
          <a:ext cx="1243965" cy="946785"/>
        </a:xfrm>
        <a:prstGeom prst="downArrow">
          <a:avLst/>
        </a:prstGeom>
        <a:solidFill>
          <a:schemeClr val="dk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9ECB-F8F7-4F17-8F8C-D922ACE985F4}">
  <sheetPr>
    <tabColor rgb="FF002060"/>
  </sheetPr>
  <dimension ref="C1:BR23"/>
  <sheetViews>
    <sheetView showGridLines="0" tabSelected="1" zoomScaleNormal="80" workbookViewId="0">
      <pane xSplit="9" ySplit="3" topLeftCell="J4" activePane="bottomRight" state="frozen"/>
      <selection pane="topRight" activeCell="F1" sqref="F1"/>
      <selection pane="bottomLeft" activeCell="A5" sqref="A5"/>
      <selection pane="bottomRight" activeCell="G28" sqref="G28"/>
    </sheetView>
  </sheetViews>
  <sheetFormatPr baseColWidth="10" defaultColWidth="8.85546875" defaultRowHeight="15" x14ac:dyDescent="0.25"/>
  <cols>
    <col min="1" max="1" width="0" hidden="1" customWidth="1"/>
    <col min="2" max="2" width="3.42578125" customWidth="1"/>
    <col min="3" max="3" width="6" customWidth="1"/>
    <col min="4" max="4" width="40" customWidth="1"/>
    <col min="5" max="5" width="21" customWidth="1"/>
    <col min="6" max="6" width="14.42578125" customWidth="1"/>
    <col min="7" max="7" width="30.28515625" customWidth="1"/>
    <col min="8" max="8" width="20" customWidth="1"/>
    <col min="9" max="9" width="28" customWidth="1"/>
    <col min="10" max="10" width="14.140625" style="1" customWidth="1"/>
    <col min="11" max="11" width="18.7109375" style="1" customWidth="1"/>
    <col min="12" max="18" width="20.7109375" style="1" customWidth="1"/>
    <col min="19" max="19" width="22.7109375" style="1" customWidth="1"/>
    <col min="20" max="21" width="14.140625" style="1" customWidth="1"/>
    <col min="22" max="22" width="25.5703125" customWidth="1"/>
    <col min="23" max="23" width="3.28515625" customWidth="1"/>
    <col min="24" max="24" width="14.28515625" customWidth="1"/>
    <col min="25" max="25" width="16.7109375" customWidth="1"/>
    <col min="26" max="26" width="19.140625" customWidth="1"/>
    <col min="27" max="27" width="14.140625" customWidth="1"/>
    <col min="28" max="35" width="14.7109375" style="29" customWidth="1"/>
    <col min="36" max="36" width="16.7109375" style="29" customWidth="1"/>
    <col min="37" max="47" width="14.7109375" style="29" customWidth="1"/>
    <col min="48" max="48" width="16.7109375" style="29" customWidth="1"/>
    <col min="49" max="49" width="14.7109375" style="29" customWidth="1"/>
    <col min="50" max="51" width="12.42578125" customWidth="1"/>
    <col min="52" max="52" width="14.28515625" style="29" customWidth="1"/>
    <col min="53" max="53" width="9.42578125" customWidth="1"/>
    <col min="54" max="54" width="18.140625" customWidth="1"/>
    <col min="55" max="55" width="12.28515625" customWidth="1"/>
    <col min="56" max="56" width="13.42578125" customWidth="1"/>
    <col min="57" max="57" width="9.7109375" customWidth="1"/>
    <col min="58" max="58" width="26" customWidth="1"/>
    <col min="59" max="59" width="12.7109375" customWidth="1"/>
    <col min="60" max="60" width="10.85546875" customWidth="1"/>
    <col min="61" max="61" width="16.28515625" style="1" customWidth="1"/>
    <col min="62" max="62" width="111" customWidth="1"/>
    <col min="63" max="66" width="8.85546875" customWidth="1"/>
    <col min="67" max="67" width="27.7109375" customWidth="1"/>
    <col min="68" max="68" width="20.7109375" customWidth="1"/>
  </cols>
  <sheetData>
    <row r="1" spans="3:70" ht="15.75" thickBot="1" x14ac:dyDescent="0.3"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 s="2" t="s">
        <v>0</v>
      </c>
      <c r="AZ1"/>
      <c r="BC1" s="3" t="s">
        <v>1</v>
      </c>
      <c r="BD1" s="3" t="s">
        <v>1</v>
      </c>
      <c r="BE1" s="3" t="s">
        <v>1</v>
      </c>
      <c r="BF1">
        <v>0.85</v>
      </c>
      <c r="BG1">
        <v>0.95</v>
      </c>
    </row>
    <row r="2" spans="3:70" ht="35.450000000000003" customHeight="1" thickBot="1" x14ac:dyDescent="0.3"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5"/>
      <c r="W2" s="4"/>
      <c r="X2" s="186" t="s">
        <v>2</v>
      </c>
      <c r="Y2" s="188" t="s">
        <v>3</v>
      </c>
      <c r="Z2" s="189"/>
      <c r="AA2" s="190" t="s">
        <v>4</v>
      </c>
      <c r="AB2" s="192" t="s">
        <v>5</v>
      </c>
      <c r="AC2" s="193"/>
      <c r="AD2" s="181" t="s">
        <v>6</v>
      </c>
      <c r="AE2" s="182"/>
      <c r="AF2" s="176" t="s">
        <v>7</v>
      </c>
      <c r="AG2" s="177"/>
      <c r="AH2" s="168" t="s">
        <v>8</v>
      </c>
      <c r="AI2" s="169"/>
      <c r="AJ2" s="170" t="s">
        <v>9</v>
      </c>
      <c r="AK2" s="178" t="s">
        <v>10</v>
      </c>
      <c r="AL2" s="179"/>
      <c r="AM2" s="180"/>
      <c r="AN2" s="181" t="s">
        <v>11</v>
      </c>
      <c r="AO2" s="182"/>
      <c r="AP2" s="176" t="s">
        <v>12</v>
      </c>
      <c r="AQ2" s="183"/>
      <c r="AR2" s="183"/>
      <c r="AS2" s="177"/>
      <c r="AT2" s="168" t="s">
        <v>13</v>
      </c>
      <c r="AU2" s="169"/>
      <c r="AV2" s="170" t="s">
        <v>9</v>
      </c>
      <c r="AW2" s="172" t="s">
        <v>14</v>
      </c>
      <c r="AX2" s="172" t="s">
        <v>15</v>
      </c>
      <c r="AY2" s="174" t="s">
        <v>16</v>
      </c>
      <c r="AZ2" s="162" t="s">
        <v>17</v>
      </c>
      <c r="BC2" s="164" t="s">
        <v>18</v>
      </c>
      <c r="BD2" s="164" t="s">
        <v>19</v>
      </c>
      <c r="BE2" s="164" t="s">
        <v>20</v>
      </c>
      <c r="BF2" s="164" t="s">
        <v>21</v>
      </c>
      <c r="BG2" s="166" t="s">
        <v>22</v>
      </c>
      <c r="BH2" s="5"/>
      <c r="BI2" s="162" t="s">
        <v>23</v>
      </c>
      <c r="BJ2" s="162" t="s">
        <v>24</v>
      </c>
    </row>
    <row r="3" spans="3:70" ht="66" customHeight="1" thickBot="1" x14ac:dyDescent="0.3">
      <c r="D3" s="6" t="s">
        <v>25</v>
      </c>
      <c r="E3" s="7"/>
      <c r="F3" s="7" t="s">
        <v>26</v>
      </c>
      <c r="G3" s="7" t="s">
        <v>27</v>
      </c>
      <c r="H3" s="7"/>
      <c r="I3" s="8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7" t="s">
        <v>33</v>
      </c>
      <c r="O3" s="7" t="s">
        <v>34</v>
      </c>
      <c r="P3" s="7" t="s">
        <v>35</v>
      </c>
      <c r="Q3" s="7" t="s">
        <v>36</v>
      </c>
      <c r="R3" s="7" t="s">
        <v>37</v>
      </c>
      <c r="S3" s="7" t="s">
        <v>38</v>
      </c>
      <c r="T3" s="7" t="s">
        <v>39</v>
      </c>
      <c r="U3" s="7" t="s">
        <v>40</v>
      </c>
      <c r="V3" s="9" t="s">
        <v>41</v>
      </c>
      <c r="W3" s="10"/>
      <c r="X3" s="187"/>
      <c r="Y3" s="11" t="s">
        <v>42</v>
      </c>
      <c r="Z3" s="12" t="s">
        <v>43</v>
      </c>
      <c r="AA3" s="191"/>
      <c r="AB3" s="13" t="s">
        <v>44</v>
      </c>
      <c r="AC3" s="14" t="s">
        <v>45</v>
      </c>
      <c r="AD3" s="15" t="s">
        <v>46</v>
      </c>
      <c r="AE3" s="16" t="s">
        <v>47</v>
      </c>
      <c r="AF3" s="17" t="s">
        <v>48</v>
      </c>
      <c r="AG3" s="17" t="s">
        <v>49</v>
      </c>
      <c r="AH3" s="18" t="s">
        <v>50</v>
      </c>
      <c r="AI3" s="19" t="s">
        <v>51</v>
      </c>
      <c r="AJ3" s="171"/>
      <c r="AK3" s="20" t="s">
        <v>52</v>
      </c>
      <c r="AL3" s="21" t="s">
        <v>53</v>
      </c>
      <c r="AM3" s="22" t="s">
        <v>54</v>
      </c>
      <c r="AN3" s="23" t="s">
        <v>55</v>
      </c>
      <c r="AO3" s="24" t="s">
        <v>56</v>
      </c>
      <c r="AP3" s="25" t="s">
        <v>57</v>
      </c>
      <c r="AQ3" s="25" t="s">
        <v>58</v>
      </c>
      <c r="AR3" s="25" t="s">
        <v>59</v>
      </c>
      <c r="AS3" s="25" t="s">
        <v>60</v>
      </c>
      <c r="AT3" s="26" t="s">
        <v>61</v>
      </c>
      <c r="AU3" s="27" t="s">
        <v>62</v>
      </c>
      <c r="AV3" s="171"/>
      <c r="AW3" s="173"/>
      <c r="AX3" s="173"/>
      <c r="AY3" s="175"/>
      <c r="AZ3" s="163"/>
      <c r="BA3" s="28"/>
      <c r="BB3" s="28" t="s">
        <v>63</v>
      </c>
      <c r="BC3" s="165"/>
      <c r="BD3" s="165"/>
      <c r="BE3" s="165"/>
      <c r="BF3" s="165"/>
      <c r="BG3" s="167"/>
      <c r="BH3" s="5"/>
      <c r="BI3" s="163"/>
      <c r="BJ3" s="163"/>
      <c r="BO3" s="29"/>
      <c r="BP3" s="29"/>
      <c r="BQ3" s="29"/>
      <c r="BR3" s="29"/>
    </row>
    <row r="4" spans="3:70" ht="15" customHeight="1" thickBot="1" x14ac:dyDescent="0.3">
      <c r="D4" s="5"/>
      <c r="E4" s="5"/>
      <c r="F4" s="5"/>
      <c r="G4" s="5"/>
      <c r="H4" s="5"/>
      <c r="I4" s="3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30"/>
      <c r="W4" s="31"/>
      <c r="X4" s="32"/>
      <c r="Y4" s="31"/>
      <c r="Z4" s="32"/>
      <c r="AA4" s="33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34"/>
      <c r="BC4" s="32"/>
      <c r="BD4" s="32"/>
      <c r="BE4" s="32"/>
      <c r="BF4" s="32"/>
      <c r="BG4" s="32"/>
      <c r="BH4" s="5"/>
      <c r="BI4" s="35"/>
      <c r="BJ4" s="35"/>
    </row>
    <row r="5" spans="3:70" ht="55.15" customHeight="1" thickBot="1" x14ac:dyDescent="0.3">
      <c r="C5" s="36">
        <v>17</v>
      </c>
      <c r="D5" s="56" t="s">
        <v>70</v>
      </c>
      <c r="E5" s="37" t="s">
        <v>71</v>
      </c>
      <c r="F5" s="37" t="s">
        <v>72</v>
      </c>
      <c r="G5" s="37" t="s">
        <v>73</v>
      </c>
      <c r="H5" s="37"/>
      <c r="I5" s="38" t="s">
        <v>67</v>
      </c>
      <c r="J5" s="39">
        <v>2</v>
      </c>
      <c r="K5" s="39">
        <v>2</v>
      </c>
      <c r="L5" s="39">
        <v>2</v>
      </c>
      <c r="M5" s="39">
        <v>2</v>
      </c>
      <c r="N5" s="39">
        <v>2</v>
      </c>
      <c r="O5" s="39">
        <v>2</v>
      </c>
      <c r="P5" s="39">
        <v>2</v>
      </c>
      <c r="Q5" s="39" t="s">
        <v>64</v>
      </c>
      <c r="R5" s="39" t="s">
        <v>64</v>
      </c>
      <c r="S5" s="39" t="s">
        <v>64</v>
      </c>
      <c r="T5" s="39" t="s">
        <v>64</v>
      </c>
      <c r="U5" s="39" t="s">
        <v>64</v>
      </c>
      <c r="V5" s="40"/>
      <c r="W5" s="41">
        <f t="shared" ref="W5:W10" si="0">+COUNT(J5:V5)*2</f>
        <v>14</v>
      </c>
      <c r="X5" s="42">
        <f t="shared" ref="X5:X10" si="1">+IF(COUNTIF(J5:U5,1)&gt;0,1,2)</f>
        <v>2</v>
      </c>
      <c r="Y5" s="40"/>
      <c r="Z5" s="62">
        <v>2</v>
      </c>
      <c r="AA5" s="63">
        <f t="shared" ref="AA5:AA10" si="2">+IF(Z5="",Y5,Z5)</f>
        <v>2</v>
      </c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59">
        <v>2</v>
      </c>
      <c r="AZ5" s="47">
        <f t="shared" ref="AZ5:AZ10" si="3">+IF(AND(AA5="",AX5=""),SUM(X5,AY5)/2,IF(AA5=0,SUM(X5,AX5,AY5)/3,IF(AND(X5="",AX5="",AY5=""),AA5,IF(OR(AND(X5="",AX5=""),AND(X5="",AY5=""),(AND(AX5="",AY5=""))),(AA5*0.7+X5*0.3+AX5*0.3+AY5*0.3),IF(OR(X5="",AX5="",AY5=""),(AA5*0.5+X5*0.25+AX5*0.25+AY5*0.25),(AA5*0.4+X5*0.2+AX5*0.2+AY5*0.2))))))</f>
        <v>2</v>
      </c>
      <c r="BA5" s="64"/>
      <c r="BB5" s="65">
        <f>+(+X5+AX5+AY5)/3</f>
        <v>1.3333333333333333</v>
      </c>
      <c r="BC5" s="40"/>
      <c r="BD5" s="40"/>
      <c r="BE5" s="3" t="s">
        <v>1</v>
      </c>
      <c r="BF5" s="40"/>
      <c r="BG5" s="3" t="s">
        <v>1</v>
      </c>
      <c r="BH5" s="41"/>
      <c r="BI5" s="58">
        <v>3</v>
      </c>
      <c r="BJ5" s="61" t="s">
        <v>74</v>
      </c>
    </row>
    <row r="6" spans="3:70" ht="26.25" thickBot="1" x14ac:dyDescent="0.3">
      <c r="C6" s="36">
        <v>34</v>
      </c>
      <c r="D6" s="67" t="s">
        <v>77</v>
      </c>
      <c r="E6" s="67" t="s">
        <v>78</v>
      </c>
      <c r="F6" s="37" t="s">
        <v>79</v>
      </c>
      <c r="G6" s="37" t="s">
        <v>80</v>
      </c>
      <c r="H6" s="37" t="s">
        <v>80</v>
      </c>
      <c r="I6" s="38" t="s">
        <v>69</v>
      </c>
      <c r="J6" s="39">
        <v>2</v>
      </c>
      <c r="K6" s="39">
        <v>2</v>
      </c>
      <c r="L6" s="39">
        <v>2</v>
      </c>
      <c r="M6" s="39">
        <v>2</v>
      </c>
      <c r="N6" s="39">
        <v>2</v>
      </c>
      <c r="O6" s="39">
        <v>2</v>
      </c>
      <c r="P6" s="39">
        <v>2</v>
      </c>
      <c r="Q6" s="39" t="s">
        <v>64</v>
      </c>
      <c r="R6" s="39" t="s">
        <v>64</v>
      </c>
      <c r="S6" s="39" t="s">
        <v>64</v>
      </c>
      <c r="T6" s="39" t="s">
        <v>64</v>
      </c>
      <c r="U6" s="39" t="s">
        <v>64</v>
      </c>
      <c r="V6" s="40"/>
      <c r="W6" s="41">
        <f t="shared" si="0"/>
        <v>14</v>
      </c>
      <c r="X6" s="42">
        <f t="shared" si="1"/>
        <v>2</v>
      </c>
      <c r="Y6" s="43">
        <v>2</v>
      </c>
      <c r="Z6" s="40"/>
      <c r="AA6" s="45">
        <f t="shared" si="2"/>
        <v>2</v>
      </c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59">
        <v>2</v>
      </c>
      <c r="AZ6" s="47">
        <f t="shared" si="3"/>
        <v>2</v>
      </c>
      <c r="BA6" s="65"/>
      <c r="BB6" s="65">
        <f>+(X6+AY6)/2</f>
        <v>2</v>
      </c>
      <c r="BC6" s="40"/>
      <c r="BD6" s="40"/>
      <c r="BE6" s="40"/>
      <c r="BF6" s="40"/>
      <c r="BG6" s="38"/>
      <c r="BH6" s="48"/>
      <c r="BI6" s="58">
        <v>2</v>
      </c>
      <c r="BJ6" s="49"/>
    </row>
    <row r="7" spans="3:70" ht="75.75" thickBot="1" x14ac:dyDescent="0.3">
      <c r="C7" s="36">
        <v>37</v>
      </c>
      <c r="D7" s="67" t="s">
        <v>81</v>
      </c>
      <c r="E7" s="67" t="s">
        <v>81</v>
      </c>
      <c r="F7" s="37" t="s">
        <v>82</v>
      </c>
      <c r="G7" s="37" t="s">
        <v>83</v>
      </c>
      <c r="H7" s="37" t="s">
        <v>83</v>
      </c>
      <c r="I7" s="38" t="s">
        <v>69</v>
      </c>
      <c r="J7" s="39">
        <v>2</v>
      </c>
      <c r="K7" s="39">
        <v>2</v>
      </c>
      <c r="L7" s="39">
        <v>2</v>
      </c>
      <c r="M7" s="39">
        <v>2</v>
      </c>
      <c r="N7" s="39">
        <v>2</v>
      </c>
      <c r="O7" s="39">
        <v>2</v>
      </c>
      <c r="P7" s="39">
        <v>2</v>
      </c>
      <c r="Q7" s="39" t="s">
        <v>64</v>
      </c>
      <c r="R7" s="39" t="s">
        <v>64</v>
      </c>
      <c r="S7" s="39" t="s">
        <v>64</v>
      </c>
      <c r="T7" s="39" t="s">
        <v>64</v>
      </c>
      <c r="U7" s="39" t="s">
        <v>64</v>
      </c>
      <c r="V7" s="40"/>
      <c r="W7" s="41">
        <f t="shared" si="0"/>
        <v>14</v>
      </c>
      <c r="X7" s="42">
        <f t="shared" si="1"/>
        <v>2</v>
      </c>
      <c r="Y7" s="43">
        <v>2</v>
      </c>
      <c r="Z7" s="40"/>
      <c r="AA7" s="45">
        <f t="shared" si="2"/>
        <v>2</v>
      </c>
      <c r="AB7" s="38">
        <v>3</v>
      </c>
      <c r="AC7" s="38">
        <v>3</v>
      </c>
      <c r="AD7" s="38">
        <v>3</v>
      </c>
      <c r="AE7" s="55">
        <v>2</v>
      </c>
      <c r="AF7" s="60"/>
      <c r="AG7" s="60"/>
      <c r="AH7" s="55">
        <v>2</v>
      </c>
      <c r="AI7" s="38">
        <v>3</v>
      </c>
      <c r="AJ7" s="38" t="s">
        <v>66</v>
      </c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51">
        <f>+IFERROR(AVERAGE(AK7:AU7,AB7:AI7),"")-1</f>
        <v>1.6666666666666665</v>
      </c>
      <c r="AX7" s="51">
        <v>2</v>
      </c>
      <c r="AY7" s="59">
        <v>2</v>
      </c>
      <c r="AZ7" s="47">
        <f t="shared" si="3"/>
        <v>2</v>
      </c>
      <c r="BA7" s="50"/>
      <c r="BB7" s="50" t="e">
        <f>+(0.5*#REF!)+(0.25*X7)+(0.25*AY7)</f>
        <v>#REF!</v>
      </c>
      <c r="BC7" s="40"/>
      <c r="BD7" s="40"/>
      <c r="BE7" s="40"/>
      <c r="BF7" s="40"/>
      <c r="BG7" s="57" t="s">
        <v>68</v>
      </c>
      <c r="BH7" s="48" t="e">
        <f>+AZ7*BG7</f>
        <v>#VALUE!</v>
      </c>
      <c r="BI7" s="58">
        <v>2</v>
      </c>
      <c r="BJ7" s="66" t="s">
        <v>84</v>
      </c>
    </row>
    <row r="8" spans="3:70" ht="72.599999999999994" customHeight="1" thickBot="1" x14ac:dyDescent="0.3">
      <c r="C8" s="36">
        <v>40</v>
      </c>
      <c r="D8" s="67" t="s">
        <v>86</v>
      </c>
      <c r="E8" s="67" t="s">
        <v>87</v>
      </c>
      <c r="F8" s="37" t="s">
        <v>88</v>
      </c>
      <c r="G8" s="37" t="s">
        <v>89</v>
      </c>
      <c r="H8" s="37" t="s">
        <v>89</v>
      </c>
      <c r="I8" s="38" t="s">
        <v>75</v>
      </c>
      <c r="J8" s="39">
        <v>2</v>
      </c>
      <c r="K8" s="39">
        <v>2</v>
      </c>
      <c r="L8" s="39">
        <v>2</v>
      </c>
      <c r="M8" s="39">
        <v>2</v>
      </c>
      <c r="N8" s="39">
        <v>2</v>
      </c>
      <c r="O8" s="39">
        <v>2</v>
      </c>
      <c r="P8" s="39">
        <v>2</v>
      </c>
      <c r="Q8" s="39" t="s">
        <v>64</v>
      </c>
      <c r="R8" s="39" t="s">
        <v>64</v>
      </c>
      <c r="S8" s="39" t="s">
        <v>64</v>
      </c>
      <c r="T8" s="39" t="s">
        <v>64</v>
      </c>
      <c r="U8" s="39" t="s">
        <v>64</v>
      </c>
      <c r="V8" s="40"/>
      <c r="W8" s="41">
        <f t="shared" si="0"/>
        <v>14</v>
      </c>
      <c r="X8" s="42">
        <f t="shared" si="1"/>
        <v>2</v>
      </c>
      <c r="Y8" s="40"/>
      <c r="Z8" s="40"/>
      <c r="AA8" s="40"/>
      <c r="AB8" s="70">
        <v>3</v>
      </c>
      <c r="AC8" s="71">
        <v>3</v>
      </c>
      <c r="AD8" s="70">
        <v>3</v>
      </c>
      <c r="AE8" s="71">
        <v>3</v>
      </c>
      <c r="AF8" s="41">
        <v>3</v>
      </c>
      <c r="AG8" s="41">
        <v>3</v>
      </c>
      <c r="AH8" s="70">
        <v>4</v>
      </c>
      <c r="AI8" s="71">
        <v>4</v>
      </c>
      <c r="AJ8" s="71" t="s">
        <v>65</v>
      </c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51">
        <f>+IFERROR(AVERAGE(AK8:AU8,AB8:AI8),"")-1</f>
        <v>2.25</v>
      </c>
      <c r="AX8" s="51">
        <f>+IFERROR(AVERAGE(AK8:AU8,AB8:AI8),"")-1</f>
        <v>2.25</v>
      </c>
      <c r="AY8" s="59">
        <v>2</v>
      </c>
      <c r="AZ8" s="47">
        <f t="shared" si="3"/>
        <v>2.0833333333333335</v>
      </c>
      <c r="BA8" s="65"/>
      <c r="BB8" s="65">
        <f>+(X8+AY8)/2</f>
        <v>2</v>
      </c>
      <c r="BC8" s="3" t="s">
        <v>1</v>
      </c>
      <c r="BD8" s="40"/>
      <c r="BE8" s="40"/>
      <c r="BF8" s="40"/>
      <c r="BG8" s="57" t="s">
        <v>68</v>
      </c>
      <c r="BH8" s="48" t="e">
        <f>+AZ8*BG8</f>
        <v>#VALUE!</v>
      </c>
      <c r="BI8" s="58">
        <v>3</v>
      </c>
      <c r="BJ8" s="68" t="s">
        <v>90</v>
      </c>
    </row>
    <row r="9" spans="3:70" ht="102" customHeight="1" thickBot="1" x14ac:dyDescent="0.3">
      <c r="C9" s="36">
        <v>42</v>
      </c>
      <c r="D9" s="67" t="s">
        <v>91</v>
      </c>
      <c r="E9" s="67" t="s">
        <v>91</v>
      </c>
      <c r="F9" s="37" t="s">
        <v>92</v>
      </c>
      <c r="G9" s="37" t="s">
        <v>93</v>
      </c>
      <c r="H9" s="37" t="s">
        <v>93</v>
      </c>
      <c r="I9" s="38" t="s">
        <v>75</v>
      </c>
      <c r="J9" s="39">
        <v>2</v>
      </c>
      <c r="K9" s="39">
        <v>2</v>
      </c>
      <c r="L9" s="39">
        <v>2</v>
      </c>
      <c r="M9" s="39">
        <v>2</v>
      </c>
      <c r="N9" s="39">
        <v>2</v>
      </c>
      <c r="O9" s="39">
        <v>2</v>
      </c>
      <c r="P9" s="39">
        <v>2</v>
      </c>
      <c r="Q9" s="39" t="s">
        <v>64</v>
      </c>
      <c r="R9" s="39" t="s">
        <v>64</v>
      </c>
      <c r="S9" s="39" t="s">
        <v>64</v>
      </c>
      <c r="T9" s="39" t="s">
        <v>64</v>
      </c>
      <c r="U9" s="39" t="s">
        <v>64</v>
      </c>
      <c r="V9" s="40"/>
      <c r="W9" s="41">
        <f t="shared" si="0"/>
        <v>14</v>
      </c>
      <c r="X9" s="42">
        <f t="shared" si="1"/>
        <v>2</v>
      </c>
      <c r="Y9" s="52">
        <v>3</v>
      </c>
      <c r="Z9" s="40"/>
      <c r="AA9" s="53">
        <f t="shared" si="2"/>
        <v>3</v>
      </c>
      <c r="AB9" s="38">
        <v>4</v>
      </c>
      <c r="AC9" s="38">
        <v>4</v>
      </c>
      <c r="AD9" s="38">
        <v>3</v>
      </c>
      <c r="AE9" s="38">
        <v>3</v>
      </c>
      <c r="AF9" s="38">
        <v>4</v>
      </c>
      <c r="AG9" s="38">
        <v>3</v>
      </c>
      <c r="AH9" s="38">
        <v>4</v>
      </c>
      <c r="AI9" s="38">
        <v>3</v>
      </c>
      <c r="AJ9" s="38" t="s">
        <v>65</v>
      </c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51">
        <f>+IFERROR(AVERAGE(AK9:AU9,AB9:AI9),"")-1</f>
        <v>2.5</v>
      </c>
      <c r="AX9" s="54">
        <v>3</v>
      </c>
      <c r="AY9" s="59">
        <v>2</v>
      </c>
      <c r="AZ9" s="47">
        <f t="shared" si="3"/>
        <v>2.6</v>
      </c>
      <c r="BA9" s="50"/>
      <c r="BB9" s="50" t="e">
        <f>+(0.5*#REF!)+(0.25*X9)+(0.25*AY9)</f>
        <v>#REF!</v>
      </c>
      <c r="BC9" s="40"/>
      <c r="BD9" s="3" t="s">
        <v>1</v>
      </c>
      <c r="BE9" s="40"/>
      <c r="BF9" s="40"/>
      <c r="BG9" s="57" t="s">
        <v>68</v>
      </c>
      <c r="BH9" s="48"/>
      <c r="BI9" s="58">
        <v>3</v>
      </c>
      <c r="BJ9" s="72" t="s">
        <v>94</v>
      </c>
    </row>
    <row r="10" spans="3:70" ht="31.15" customHeight="1" thickBot="1" x14ac:dyDescent="0.3">
      <c r="C10" s="36">
        <v>57</v>
      </c>
      <c r="D10" s="67" t="s">
        <v>95</v>
      </c>
      <c r="E10" s="67" t="s">
        <v>95</v>
      </c>
      <c r="F10" s="37" t="s">
        <v>96</v>
      </c>
      <c r="G10" s="37" t="s">
        <v>97</v>
      </c>
      <c r="H10" s="37" t="s">
        <v>97</v>
      </c>
      <c r="I10" s="38" t="s">
        <v>75</v>
      </c>
      <c r="J10" s="39">
        <v>2</v>
      </c>
      <c r="K10" s="39">
        <v>2</v>
      </c>
      <c r="L10" s="39">
        <v>2</v>
      </c>
      <c r="M10" s="39">
        <v>2</v>
      </c>
      <c r="N10" s="39">
        <v>2</v>
      </c>
      <c r="O10" s="39">
        <v>2</v>
      </c>
      <c r="P10" s="39">
        <v>2</v>
      </c>
      <c r="Q10" s="39" t="s">
        <v>64</v>
      </c>
      <c r="R10" s="39" t="s">
        <v>64</v>
      </c>
      <c r="S10" s="39" t="s">
        <v>64</v>
      </c>
      <c r="T10" s="39" t="s">
        <v>64</v>
      </c>
      <c r="U10" s="39" t="s">
        <v>64</v>
      </c>
      <c r="V10" s="40"/>
      <c r="W10" s="41">
        <f t="shared" si="0"/>
        <v>14</v>
      </c>
      <c r="X10" s="42">
        <f t="shared" si="1"/>
        <v>2</v>
      </c>
      <c r="Y10" s="52">
        <v>3</v>
      </c>
      <c r="Z10" s="40"/>
      <c r="AA10" s="53">
        <f t="shared" si="2"/>
        <v>3</v>
      </c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59">
        <v>1.6666666666666667</v>
      </c>
      <c r="AZ10" s="47">
        <f t="shared" si="3"/>
        <v>2.4166666666666665</v>
      </c>
      <c r="BA10" s="73"/>
      <c r="BB10" s="73">
        <f>+(+X10+AX10+AY10)/3</f>
        <v>1.2222222222222223</v>
      </c>
      <c r="BC10" s="40"/>
      <c r="BD10" s="40"/>
      <c r="BE10" s="40"/>
      <c r="BF10" s="40"/>
      <c r="BG10" s="57" t="s">
        <v>68</v>
      </c>
      <c r="BH10" s="48"/>
      <c r="BI10" s="58">
        <v>2</v>
      </c>
      <c r="BJ10" s="66" t="s">
        <v>98</v>
      </c>
    </row>
    <row r="11" spans="3:70" ht="15.75" thickBot="1" x14ac:dyDescent="0.3">
      <c r="C11" s="36">
        <v>65</v>
      </c>
      <c r="D11" s="67" t="s">
        <v>99</v>
      </c>
      <c r="E11" s="67"/>
      <c r="F11" s="37" t="s">
        <v>100</v>
      </c>
      <c r="G11" s="37" t="s">
        <v>101</v>
      </c>
      <c r="H11" s="37"/>
      <c r="I11" s="38" t="s">
        <v>76</v>
      </c>
      <c r="J11" s="39">
        <v>2</v>
      </c>
      <c r="K11" s="39">
        <v>2</v>
      </c>
      <c r="L11" s="39">
        <v>2</v>
      </c>
      <c r="M11" s="39">
        <v>2</v>
      </c>
      <c r="N11" s="39">
        <v>2</v>
      </c>
      <c r="O11" s="39">
        <v>2</v>
      </c>
      <c r="P11" s="39">
        <v>2</v>
      </c>
      <c r="Q11" s="39" t="s">
        <v>64</v>
      </c>
      <c r="R11" s="39" t="s">
        <v>64</v>
      </c>
      <c r="S11" s="39" t="s">
        <v>64</v>
      </c>
      <c r="T11" s="39" t="s">
        <v>64</v>
      </c>
      <c r="U11" s="39" t="s">
        <v>64</v>
      </c>
      <c r="V11" s="40"/>
      <c r="W11" s="41"/>
      <c r="X11" s="42">
        <f t="shared" ref="X11:X13" si="4">+IF(COUNTIF(J11:U11,1)&gt;0,1,2)</f>
        <v>2</v>
      </c>
      <c r="Y11" s="40"/>
      <c r="Z11" s="40"/>
      <c r="AA11" s="40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59">
        <v>2</v>
      </c>
      <c r="AZ11" s="47">
        <f t="shared" ref="AZ11:AZ13" si="5">+IF(AND(AA11="",AX11=""),SUM(X11,AY11)/2,IF(AA11=0,SUM(X11,AX11,AY11)/3,IF(AND(X11="",AX11="",AY11=""),AA11,IF(OR(AND(X11="",AX11=""),AND(X11="",AY11=""),(AND(AX11="",AY11=""))),(AA11*0.7+X11*0.3+AX11*0.3+AY11*0.3),IF(OR(X11="",AX11="",AY11=""),(AA11*0.5+X11*0.25+AX11*0.25+AY11*0.25),(AA11*0.4+X11*0.2+AX11*0.2+AY11*0.2))))))</f>
        <v>2</v>
      </c>
      <c r="BA11" s="73"/>
      <c r="BB11" s="73"/>
      <c r="BC11" s="40"/>
      <c r="BD11" s="40"/>
      <c r="BE11" s="40"/>
      <c r="BF11" s="40"/>
      <c r="BG11" s="57" t="s">
        <v>68</v>
      </c>
      <c r="BH11" s="48" t="e">
        <f>+AZ11*BG11</f>
        <v>#VALUE!</v>
      </c>
      <c r="BI11" s="58">
        <v>2</v>
      </c>
      <c r="BJ11" s="69" t="s">
        <v>85</v>
      </c>
    </row>
    <row r="12" spans="3:70" ht="26.25" thickBot="1" x14ac:dyDescent="0.3">
      <c r="C12" s="36">
        <v>69</v>
      </c>
      <c r="D12" s="67" t="s">
        <v>102</v>
      </c>
      <c r="E12" s="67"/>
      <c r="F12" s="37" t="s">
        <v>103</v>
      </c>
      <c r="G12" s="37" t="s">
        <v>104</v>
      </c>
      <c r="H12" s="37"/>
      <c r="I12" s="38" t="s">
        <v>75</v>
      </c>
      <c r="J12" s="39">
        <v>2</v>
      </c>
      <c r="K12" s="39">
        <v>2</v>
      </c>
      <c r="L12" s="39">
        <v>2</v>
      </c>
      <c r="M12" s="39">
        <v>2</v>
      </c>
      <c r="N12" s="39">
        <v>2</v>
      </c>
      <c r="O12" s="39">
        <v>2</v>
      </c>
      <c r="P12" s="39">
        <v>2</v>
      </c>
      <c r="Q12" s="39" t="s">
        <v>64</v>
      </c>
      <c r="R12" s="39" t="s">
        <v>64</v>
      </c>
      <c r="S12" s="39" t="s">
        <v>64</v>
      </c>
      <c r="T12" s="39" t="s">
        <v>64</v>
      </c>
      <c r="U12" s="39" t="s">
        <v>64</v>
      </c>
      <c r="V12" s="40"/>
      <c r="W12" s="41"/>
      <c r="X12" s="42">
        <f t="shared" si="4"/>
        <v>2</v>
      </c>
      <c r="Y12" s="40"/>
      <c r="Z12" s="40"/>
      <c r="AA12" s="40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59">
        <v>2</v>
      </c>
      <c r="AZ12" s="47">
        <f t="shared" si="5"/>
        <v>2</v>
      </c>
      <c r="BA12" s="73"/>
      <c r="BB12" s="73"/>
      <c r="BC12" s="40"/>
      <c r="BD12" s="40"/>
      <c r="BE12" s="40"/>
      <c r="BF12" s="40"/>
      <c r="BG12" s="57" t="s">
        <v>68</v>
      </c>
      <c r="BH12" s="48" t="e">
        <f>+AZ12*BG12</f>
        <v>#VALUE!</v>
      </c>
      <c r="BI12" s="58">
        <v>2</v>
      </c>
      <c r="BJ12" s="69" t="s">
        <v>85</v>
      </c>
    </row>
    <row r="13" spans="3:70" ht="30.75" thickBot="1" x14ac:dyDescent="0.3">
      <c r="C13" s="36">
        <v>70</v>
      </c>
      <c r="D13" s="67" t="s">
        <v>105</v>
      </c>
      <c r="E13" s="67"/>
      <c r="F13" s="37" t="s">
        <v>106</v>
      </c>
      <c r="G13" s="37" t="s">
        <v>107</v>
      </c>
      <c r="H13" s="37"/>
      <c r="I13" s="38" t="s">
        <v>76</v>
      </c>
      <c r="J13" s="39">
        <v>2</v>
      </c>
      <c r="K13" s="39">
        <v>2</v>
      </c>
      <c r="L13" s="39">
        <v>2</v>
      </c>
      <c r="M13" s="39">
        <v>2</v>
      </c>
      <c r="N13" s="39">
        <v>2</v>
      </c>
      <c r="O13" s="39">
        <v>2</v>
      </c>
      <c r="P13" s="39">
        <v>2</v>
      </c>
      <c r="Q13" s="39" t="s">
        <v>64</v>
      </c>
      <c r="R13" s="39" t="s">
        <v>64</v>
      </c>
      <c r="S13" s="39" t="s">
        <v>64</v>
      </c>
      <c r="T13" s="39" t="s">
        <v>64</v>
      </c>
      <c r="U13" s="39" t="s">
        <v>64</v>
      </c>
      <c r="V13" s="40"/>
      <c r="W13" s="41"/>
      <c r="X13" s="42">
        <f t="shared" si="4"/>
        <v>2</v>
      </c>
      <c r="Y13" s="43">
        <v>2</v>
      </c>
      <c r="Z13" s="40"/>
      <c r="AA13" s="45">
        <f>+IF(Z13="",Y13,Z13)</f>
        <v>2</v>
      </c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59">
        <v>2</v>
      </c>
      <c r="AZ13" s="47">
        <f t="shared" si="5"/>
        <v>2</v>
      </c>
      <c r="BA13" s="73"/>
      <c r="BB13" s="73"/>
      <c r="BC13" s="40"/>
      <c r="BD13" s="40"/>
      <c r="BE13" s="3" t="s">
        <v>1</v>
      </c>
      <c r="BF13" s="40"/>
      <c r="BG13" s="38"/>
      <c r="BH13" s="48"/>
      <c r="BI13" s="58">
        <v>3</v>
      </c>
      <c r="BJ13" s="61" t="s">
        <v>74</v>
      </c>
    </row>
    <row r="14" spans="3:70" x14ac:dyDescent="0.25">
      <c r="AZ14" s="74"/>
      <c r="BI14"/>
    </row>
    <row r="15" spans="3:70" x14ac:dyDescent="0.25">
      <c r="AY15" s="75"/>
      <c r="AZ15" s="76"/>
      <c r="BI15"/>
    </row>
    <row r="16" spans="3:70" ht="15.75" thickBot="1" x14ac:dyDescent="0.3">
      <c r="BI16"/>
    </row>
    <row r="17" spans="3:61" ht="15.75" thickBot="1" x14ac:dyDescent="0.3">
      <c r="C17" s="49"/>
      <c r="D17" t="s">
        <v>108</v>
      </c>
      <c r="BI17"/>
    </row>
    <row r="18" spans="3:61" ht="15.75" thickBot="1" x14ac:dyDescent="0.3">
      <c r="BI18"/>
    </row>
    <row r="19" spans="3:61" ht="15.75" thickBot="1" x14ac:dyDescent="0.3">
      <c r="C19" s="77"/>
      <c r="D19" t="s">
        <v>109</v>
      </c>
      <c r="BI19"/>
    </row>
    <row r="20" spans="3:61" x14ac:dyDescent="0.25">
      <c r="J20"/>
      <c r="K20"/>
      <c r="L20"/>
      <c r="M20"/>
      <c r="N20"/>
      <c r="O20"/>
      <c r="P20"/>
      <c r="Q20"/>
      <c r="R20"/>
      <c r="S20"/>
      <c r="T20"/>
      <c r="U20"/>
      <c r="BI20"/>
    </row>
    <row r="21" spans="3:61" x14ac:dyDescent="0.25">
      <c r="J21"/>
      <c r="K21"/>
      <c r="L21"/>
      <c r="M21"/>
      <c r="N21"/>
      <c r="O21"/>
      <c r="P21"/>
      <c r="Q21"/>
      <c r="R21"/>
      <c r="S21"/>
      <c r="T21"/>
      <c r="U21"/>
      <c r="BI21"/>
    </row>
    <row r="23" spans="3:61" x14ac:dyDescent="0.25">
      <c r="D23" t="s">
        <v>110</v>
      </c>
    </row>
  </sheetData>
  <autoFilter ref="D4:BR13" xr:uid="{00000000-0001-0000-0000-000000000000}"/>
  <mergeCells count="25">
    <mergeCell ref="AD2:AE2"/>
    <mergeCell ref="J2:V2"/>
    <mergeCell ref="X2:X3"/>
    <mergeCell ref="Y2:Z2"/>
    <mergeCell ref="AA2:AA3"/>
    <mergeCell ref="AB2:AC2"/>
    <mergeCell ref="AZ2:AZ3"/>
    <mergeCell ref="AF2:AG2"/>
    <mergeCell ref="AH2:AI2"/>
    <mergeCell ref="AJ2:AJ3"/>
    <mergeCell ref="AK2:AM2"/>
    <mergeCell ref="AN2:AO2"/>
    <mergeCell ref="AP2:AS2"/>
    <mergeCell ref="AT2:AU2"/>
    <mergeCell ref="AV2:AV3"/>
    <mergeCell ref="AW2:AW3"/>
    <mergeCell ref="AX2:AX3"/>
    <mergeCell ref="AY2:AY3"/>
    <mergeCell ref="BJ2:BJ3"/>
    <mergeCell ref="BC2:BC3"/>
    <mergeCell ref="BD2:BD3"/>
    <mergeCell ref="BE2:BE3"/>
    <mergeCell ref="BF2:BF3"/>
    <mergeCell ref="BG2:BG3"/>
    <mergeCell ref="BI2:BI3"/>
  </mergeCells>
  <conditionalFormatting sqref="J5:J13 M5:S13">
    <cfRule type="containsText" dxfId="296" priority="43" operator="containsText" text="1">
      <formula>NOT(ISERROR(SEARCH("1",J5)))</formula>
    </cfRule>
  </conditionalFormatting>
  <conditionalFormatting sqref="J5:U13">
    <cfRule type="cellIs" dxfId="295" priority="28" operator="equal">
      <formula>1</formula>
    </cfRule>
  </conditionalFormatting>
  <conditionalFormatting sqref="M5:M13">
    <cfRule type="cellIs" dxfId="294" priority="24" operator="equal">
      <formula>1.5</formula>
    </cfRule>
  </conditionalFormatting>
  <conditionalFormatting sqref="M5:O13">
    <cfRule type="containsText" dxfId="293" priority="25" operator="containsText" text="1">
      <formula>NOT(ISERROR(SEARCH("1",M5)))</formula>
    </cfRule>
    <cfRule type="containsText" dxfId="292" priority="26" operator="containsText" text="1">
      <formula>NOT(ISERROR(SEARCH("1",M5)))</formula>
    </cfRule>
    <cfRule type="cellIs" dxfId="291" priority="27" operator="equal">
      <formula>1</formula>
    </cfRule>
  </conditionalFormatting>
  <conditionalFormatting sqref="M5:R13">
    <cfRule type="cellIs" dxfId="290" priority="44" operator="equal">
      <formula>1</formula>
    </cfRule>
    <cfRule type="containsText" dxfId="289" priority="48" operator="containsText" text="1">
      <formula>NOT(ISERROR(SEARCH("1",M5)))</formula>
    </cfRule>
    <cfRule type="containsText" dxfId="288" priority="49" operator="containsText" text="1">
      <formula>NOT(ISERROR(SEARCH("1",M5)))</formula>
    </cfRule>
  </conditionalFormatting>
  <conditionalFormatting sqref="M5:U13 J5:J13">
    <cfRule type="containsText" dxfId="287" priority="42" operator="containsText" text="1">
      <formula>NOT(ISERROR(SEARCH("1",J5)))</formula>
    </cfRule>
  </conditionalFormatting>
  <conditionalFormatting sqref="M5:U13">
    <cfRule type="containsText" dxfId="286" priority="32" operator="containsText" text="1">
      <formula>NOT(ISERROR(SEARCH("1",M5)))</formula>
    </cfRule>
    <cfRule type="containsText" dxfId="285" priority="33" operator="containsText" text="1">
      <formula>NOT(ISERROR(SEARCH("1",M5)))</formula>
    </cfRule>
    <cfRule type="cellIs" dxfId="284" priority="34" operator="equal">
      <formula>1</formula>
    </cfRule>
  </conditionalFormatting>
  <conditionalFormatting sqref="P5:P13">
    <cfRule type="cellIs" dxfId="283" priority="12" operator="equal">
      <formula>1</formula>
    </cfRule>
  </conditionalFormatting>
  <conditionalFormatting sqref="P5:U13">
    <cfRule type="containsText" dxfId="282" priority="13" operator="containsText" text="1">
      <formula>NOT(ISERROR(SEARCH("1",P5)))</formula>
    </cfRule>
    <cfRule type="containsText" dxfId="281" priority="14" operator="containsText" text="1">
      <formula>NOT(ISERROR(SEARCH("1",P5)))</formula>
    </cfRule>
    <cfRule type="cellIs" dxfId="280" priority="15" operator="equal">
      <formula>1</formula>
    </cfRule>
  </conditionalFormatting>
  <conditionalFormatting sqref="U5:U13">
    <cfRule type="containsText" dxfId="279" priority="29" operator="containsText" text="1">
      <formula>NOT(ISERROR(SEARCH("1",U5)))</formula>
    </cfRule>
    <cfRule type="containsText" dxfId="278" priority="30" operator="containsText" text="1">
      <formula>NOT(ISERROR(SEARCH("1",U5)))</formula>
    </cfRule>
    <cfRule type="cellIs" dxfId="277" priority="31" operator="equal">
      <formula>1</formula>
    </cfRule>
  </conditionalFormatting>
  <conditionalFormatting sqref="X5:X13">
    <cfRule type="containsText" dxfId="276" priority="40" operator="containsText" text="1">
      <formula>NOT(ISERROR(SEARCH("1",X5)))</formula>
    </cfRule>
    <cfRule type="cellIs" dxfId="275" priority="41" operator="equal">
      <formula>1</formula>
    </cfRule>
  </conditionalFormatting>
  <conditionalFormatting sqref="AY5:AY13">
    <cfRule type="cellIs" dxfId="274" priority="2" operator="lessThan">
      <formula>1.5</formula>
    </cfRule>
    <cfRule type="cellIs" dxfId="273" priority="3" operator="equal">
      <formula>1</formula>
    </cfRule>
  </conditionalFormatting>
  <conditionalFormatting sqref="AZ5:AZ13">
    <cfRule type="cellIs" dxfId="272" priority="1" operator="lessThan">
      <formula>1.6</formula>
    </cfRule>
  </conditionalFormatting>
  <conditionalFormatting sqref="BI5:BI13">
    <cfRule type="containsText" dxfId="271" priority="38" operator="containsText" text="4">
      <formula>NOT(ISERROR(SEARCH("4",BI5)))</formula>
    </cfRule>
    <cfRule type="containsText" dxfId="270" priority="39" operator="containsText" text="1">
      <formula>NOT(ISERROR(SEARCH("1",BI5)))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6E01-9576-44F4-91FC-008B29DEF259}">
  <sheetPr>
    <tabColor theme="1"/>
  </sheetPr>
  <dimension ref="A1"/>
  <sheetViews>
    <sheetView workbookViewId="0">
      <selection activeCell="B26" sqref="B26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0104-3892-4E56-A009-C0C0BA55B53F}">
  <sheetPr>
    <tabColor rgb="FF92D050"/>
  </sheetPr>
  <dimension ref="B8:BG14"/>
  <sheetViews>
    <sheetView showGridLines="0" zoomScale="70" zoomScaleNormal="70" workbookViewId="0">
      <selection activeCell="AZ25" sqref="AZ25"/>
    </sheetView>
  </sheetViews>
  <sheetFormatPr baseColWidth="10" defaultRowHeight="15" x14ac:dyDescent="0.25"/>
  <cols>
    <col min="2" max="2" width="5.140625" customWidth="1"/>
    <col min="3" max="3" width="40.140625" bestFit="1" customWidth="1"/>
    <col min="4" max="4" width="22.5703125" hidden="1" customWidth="1"/>
    <col min="5" max="7" width="11.5703125" hidden="1" customWidth="1"/>
    <col min="8" max="8" width="11.5703125" customWidth="1"/>
    <col min="9" max="9" width="11.5703125" hidden="1" customWidth="1"/>
    <col min="10" max="10" width="18.85546875" hidden="1" customWidth="1"/>
    <col min="11" max="12" width="16" hidden="1" customWidth="1"/>
    <col min="13" max="13" width="15.5703125" hidden="1" customWidth="1"/>
    <col min="14" max="14" width="16" hidden="1" customWidth="1"/>
    <col min="15" max="15" width="15.7109375" hidden="1" customWidth="1"/>
    <col min="16" max="16" width="11.5703125" hidden="1" customWidth="1"/>
    <col min="17" max="17" width="17.42578125" hidden="1" customWidth="1"/>
    <col min="18" max="18" width="7.28515625" hidden="1" customWidth="1"/>
    <col min="19" max="19" width="16.7109375" hidden="1" customWidth="1"/>
    <col min="20" max="20" width="17" hidden="1" customWidth="1"/>
    <col min="21" max="22" width="0" hidden="1" customWidth="1"/>
    <col min="23" max="23" width="15.28515625" customWidth="1"/>
    <col min="24" max="24" width="17.5703125" customWidth="1"/>
    <col min="25" max="25" width="18" customWidth="1"/>
    <col min="26" max="26" width="14.7109375" customWidth="1"/>
    <col min="27" max="27" width="24.7109375" hidden="1" customWidth="1"/>
    <col min="28" max="28" width="36.85546875" hidden="1" customWidth="1"/>
    <col min="29" max="29" width="11.5703125" hidden="1" customWidth="1"/>
    <col min="30" max="30" width="30.140625" hidden="1" customWidth="1"/>
    <col min="31" max="31" width="18.28515625" hidden="1" customWidth="1"/>
    <col min="32" max="32" width="11.5703125" hidden="1" customWidth="1"/>
    <col min="33" max="33" width="15" hidden="1" customWidth="1"/>
    <col min="34" max="34" width="14.5703125" hidden="1" customWidth="1"/>
    <col min="35" max="35" width="66.5703125" hidden="1" customWidth="1"/>
    <col min="36" max="37" width="11.5703125" hidden="1" customWidth="1"/>
    <col min="38" max="38" width="26.7109375" hidden="1" customWidth="1"/>
    <col min="39" max="39" width="11.5703125" hidden="1" customWidth="1"/>
    <col min="40" max="40" width="33.7109375" hidden="1" customWidth="1"/>
    <col min="41" max="41" width="11.5703125" hidden="1" customWidth="1"/>
    <col min="42" max="42" width="27.5703125" hidden="1" customWidth="1"/>
    <col min="43" max="43" width="11.5703125" hidden="1" customWidth="1"/>
    <col min="44" max="44" width="16.28515625" hidden="1" customWidth="1"/>
    <col min="45" max="45" width="11.5703125" hidden="1" customWidth="1"/>
    <col min="46" max="47" width="0" hidden="1" customWidth="1"/>
    <col min="49" max="49" width="16.140625" customWidth="1"/>
    <col min="51" max="51" width="0" hidden="1" customWidth="1"/>
    <col min="52" max="52" width="13.7109375" customWidth="1"/>
    <col min="53" max="53" width="17.42578125" customWidth="1"/>
    <col min="54" max="54" width="15.28515625" customWidth="1"/>
    <col min="55" max="55" width="18.140625" customWidth="1"/>
    <col min="56" max="56" width="15.7109375" customWidth="1"/>
    <col min="57" max="57" width="0" hidden="1" customWidth="1"/>
    <col min="58" max="58" width="16.85546875" customWidth="1"/>
    <col min="59" max="59" width="74.5703125" customWidth="1"/>
  </cols>
  <sheetData>
    <row r="8" spans="2:59" ht="15.75" thickBot="1" x14ac:dyDescent="0.3"/>
    <row r="9" spans="2:59" ht="15.75" thickBot="1" x14ac:dyDescent="0.3"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5"/>
      <c r="V9" s="4"/>
      <c r="W9" s="186" t="s">
        <v>2</v>
      </c>
      <c r="X9" s="196" t="s">
        <v>3</v>
      </c>
      <c r="Y9" s="197"/>
      <c r="Z9" s="190" t="s">
        <v>4</v>
      </c>
      <c r="AA9" s="192" t="s">
        <v>5</v>
      </c>
      <c r="AB9" s="193"/>
      <c r="AC9" s="181" t="s">
        <v>6</v>
      </c>
      <c r="AD9" s="182"/>
      <c r="AE9" s="176" t="s">
        <v>7</v>
      </c>
      <c r="AF9" s="177"/>
      <c r="AG9" s="168" t="s">
        <v>8</v>
      </c>
      <c r="AH9" s="169"/>
      <c r="AI9" s="170" t="s">
        <v>9</v>
      </c>
      <c r="AJ9" s="178" t="s">
        <v>10</v>
      </c>
      <c r="AK9" s="179"/>
      <c r="AL9" s="180"/>
      <c r="AM9" s="181" t="s">
        <v>11</v>
      </c>
      <c r="AN9" s="182"/>
      <c r="AO9" s="176" t="s">
        <v>12</v>
      </c>
      <c r="AP9" s="177"/>
      <c r="AQ9" s="168" t="s">
        <v>13</v>
      </c>
      <c r="AR9" s="169"/>
      <c r="AS9" s="170" t="s">
        <v>9</v>
      </c>
      <c r="AT9" s="172" t="s">
        <v>14</v>
      </c>
      <c r="AU9" s="172" t="s">
        <v>15</v>
      </c>
      <c r="AV9" s="174" t="s">
        <v>16</v>
      </c>
      <c r="AW9" s="162" t="s">
        <v>17</v>
      </c>
      <c r="AZ9" s="164" t="s">
        <v>18</v>
      </c>
      <c r="BA9" s="164" t="s">
        <v>19</v>
      </c>
      <c r="BB9" s="164" t="s">
        <v>20</v>
      </c>
      <c r="BC9" s="164" t="s">
        <v>21</v>
      </c>
      <c r="BD9" s="194" t="s">
        <v>22</v>
      </c>
      <c r="BE9" s="5"/>
      <c r="BF9" s="162" t="s">
        <v>23</v>
      </c>
      <c r="BG9" s="162" t="s">
        <v>24</v>
      </c>
    </row>
    <row r="10" spans="2:59" ht="90.75" thickBot="1" x14ac:dyDescent="0.3">
      <c r="C10" s="6" t="s">
        <v>25</v>
      </c>
      <c r="D10" s="7"/>
      <c r="E10" s="7" t="s">
        <v>26</v>
      </c>
      <c r="F10" s="7" t="s">
        <v>27</v>
      </c>
      <c r="G10" s="7"/>
      <c r="H10" s="8" t="s">
        <v>28</v>
      </c>
      <c r="I10" s="7" t="s">
        <v>29</v>
      </c>
      <c r="J10" s="7" t="s">
        <v>30</v>
      </c>
      <c r="K10" s="7" t="s">
        <v>31</v>
      </c>
      <c r="L10" s="7" t="s">
        <v>32</v>
      </c>
      <c r="M10" s="7" t="s">
        <v>33</v>
      </c>
      <c r="N10" s="7" t="s">
        <v>34</v>
      </c>
      <c r="O10" s="7" t="s">
        <v>35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9" t="s">
        <v>41</v>
      </c>
      <c r="V10" s="10"/>
      <c r="W10" s="187"/>
      <c r="X10" s="78" t="s">
        <v>42</v>
      </c>
      <c r="Y10" s="79" t="s">
        <v>43</v>
      </c>
      <c r="Z10" s="191"/>
      <c r="AA10" s="13" t="s">
        <v>44</v>
      </c>
      <c r="AB10" s="14" t="s">
        <v>45</v>
      </c>
      <c r="AC10" s="15" t="s">
        <v>46</v>
      </c>
      <c r="AD10" s="16" t="s">
        <v>47</v>
      </c>
      <c r="AE10" s="17" t="s">
        <v>48</v>
      </c>
      <c r="AF10" s="17" t="s">
        <v>49</v>
      </c>
      <c r="AG10" s="18" t="s">
        <v>50</v>
      </c>
      <c r="AH10" s="19" t="s">
        <v>51</v>
      </c>
      <c r="AI10" s="171"/>
      <c r="AJ10" s="20" t="s">
        <v>52</v>
      </c>
      <c r="AK10" s="21" t="s">
        <v>53</v>
      </c>
      <c r="AL10" s="22" t="s">
        <v>54</v>
      </c>
      <c r="AM10" s="23" t="s">
        <v>55</v>
      </c>
      <c r="AN10" s="24" t="s">
        <v>56</v>
      </c>
      <c r="AO10" s="25" t="s">
        <v>111</v>
      </c>
      <c r="AP10" s="25" t="s">
        <v>112</v>
      </c>
      <c r="AQ10" s="26" t="s">
        <v>61</v>
      </c>
      <c r="AR10" s="27" t="s">
        <v>62</v>
      </c>
      <c r="AS10" s="171"/>
      <c r="AT10" s="173"/>
      <c r="AU10" s="173"/>
      <c r="AV10" s="175"/>
      <c r="AW10" s="163"/>
      <c r="AX10" s="28"/>
      <c r="AY10" s="28" t="s">
        <v>63</v>
      </c>
      <c r="AZ10" s="165"/>
      <c r="BA10" s="165"/>
      <c r="BB10" s="165"/>
      <c r="BC10" s="165"/>
      <c r="BD10" s="195"/>
      <c r="BE10" s="5"/>
      <c r="BF10" s="163"/>
      <c r="BG10" s="163"/>
    </row>
    <row r="11" spans="2:59" x14ac:dyDescent="0.25">
      <c r="C11" s="32"/>
      <c r="D11" s="32"/>
      <c r="E11" s="32"/>
      <c r="F11" s="32"/>
      <c r="G11" s="31"/>
      <c r="H11" s="31"/>
      <c r="I11" s="32"/>
      <c r="J11" s="32"/>
      <c r="K11" s="32"/>
      <c r="L11" s="32"/>
      <c r="M11" s="32"/>
      <c r="N11" s="32"/>
      <c r="O11" s="32"/>
      <c r="P11" s="31"/>
      <c r="Q11" s="31"/>
      <c r="R11" s="32"/>
      <c r="S11" s="31"/>
      <c r="T11" s="32"/>
      <c r="U11" s="33"/>
      <c r="V11" s="5"/>
      <c r="W11" s="32"/>
      <c r="X11" s="5"/>
      <c r="Y11" s="5"/>
      <c r="Z11" s="80"/>
      <c r="AB11" s="32"/>
      <c r="AC11" s="32"/>
      <c r="AD11" s="32"/>
      <c r="AE11" s="32"/>
      <c r="AF11" s="32"/>
      <c r="AG11" s="5"/>
      <c r="AH11" s="81"/>
      <c r="AI11" s="81"/>
    </row>
    <row r="12" spans="2:59" s="41" customFormat="1" ht="37.9" customHeight="1" x14ac:dyDescent="0.25">
      <c r="B12" s="38">
        <v>65</v>
      </c>
      <c r="C12" s="82" t="s">
        <v>99</v>
      </c>
      <c r="D12" s="83"/>
      <c r="E12" s="84" t="s">
        <v>100</v>
      </c>
      <c r="F12" s="84" t="s">
        <v>101</v>
      </c>
      <c r="G12" s="84"/>
      <c r="H12" s="38" t="s">
        <v>76</v>
      </c>
      <c r="I12" s="38">
        <v>2</v>
      </c>
      <c r="J12" s="38">
        <v>2</v>
      </c>
      <c r="K12" s="38">
        <v>2</v>
      </c>
      <c r="L12" s="38">
        <v>2</v>
      </c>
      <c r="M12" s="38">
        <v>2</v>
      </c>
      <c r="N12" s="38">
        <v>2</v>
      </c>
      <c r="O12" s="38">
        <v>2</v>
      </c>
      <c r="P12" s="38" t="s">
        <v>64</v>
      </c>
      <c r="Q12" s="38" t="s">
        <v>64</v>
      </c>
      <c r="R12" s="38" t="s">
        <v>64</v>
      </c>
      <c r="S12" s="38" t="s">
        <v>64</v>
      </c>
      <c r="T12" s="38" t="s">
        <v>64</v>
      </c>
      <c r="U12" s="40"/>
      <c r="W12" s="85">
        <f>+IF(COUNTIF(I12:T12,1)&gt;0,1,2)</f>
        <v>2</v>
      </c>
      <c r="X12" s="40"/>
      <c r="Y12" s="40"/>
      <c r="Z12" s="40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86">
        <v>2</v>
      </c>
      <c r="AW12" s="87">
        <f>+IF(AND(Z12="",AU12=""),SUM(W12,AV12)/2,IF(Z12=0,SUM(W12,AU12,AV12)/3,IF(AND(W12="",AU12="",AV12=""),Z12,IF(OR(AND(W12="",AU12=""),AND(W12="",AV12=""),(AND(AU12="",AV12=""))),(Z12*0.7+W12*0.3+AU12*0.3+AV12*0.3),IF(OR(W12="",AU12="",AV12=""),(Z12*0.5+W12*0.25+AU12*0.25+AV12*0.25),(Z12*0.4+W12*0.2+AU12*0.2+AV12*0.2))))))</f>
        <v>2</v>
      </c>
      <c r="AX12" s="64"/>
      <c r="AY12" s="64"/>
      <c r="AZ12" s="40"/>
      <c r="BA12" s="40"/>
      <c r="BB12" s="40"/>
      <c r="BC12" s="40"/>
      <c r="BD12" s="57" t="s">
        <v>68</v>
      </c>
      <c r="BE12" s="41" t="e">
        <f>+AW12*BD12</f>
        <v>#VALUE!</v>
      </c>
      <c r="BF12" s="86">
        <v>2</v>
      </c>
      <c r="BG12" s="88" t="s">
        <v>85</v>
      </c>
    </row>
    <row r="13" spans="2:59" s="41" customFormat="1" x14ac:dyDescent="0.25">
      <c r="C13" s="89"/>
      <c r="BG13" s="90"/>
    </row>
    <row r="14" spans="2:59" s="41" customFormat="1" ht="38.25" x14ac:dyDescent="0.25">
      <c r="B14" s="38">
        <v>70</v>
      </c>
      <c r="C14" s="82" t="s">
        <v>105</v>
      </c>
      <c r="D14" s="83"/>
      <c r="E14" s="84" t="s">
        <v>106</v>
      </c>
      <c r="F14" s="84" t="s">
        <v>107</v>
      </c>
      <c r="G14" s="84"/>
      <c r="H14" s="38" t="s">
        <v>76</v>
      </c>
      <c r="I14" s="38">
        <v>2</v>
      </c>
      <c r="J14" s="38">
        <v>2</v>
      </c>
      <c r="K14" s="38">
        <v>2</v>
      </c>
      <c r="L14" s="38">
        <v>2</v>
      </c>
      <c r="M14" s="38">
        <v>2</v>
      </c>
      <c r="N14" s="38">
        <v>2</v>
      </c>
      <c r="O14" s="38">
        <v>2</v>
      </c>
      <c r="P14" s="38" t="s">
        <v>64</v>
      </c>
      <c r="Q14" s="38" t="s">
        <v>64</v>
      </c>
      <c r="R14" s="38" t="s">
        <v>64</v>
      </c>
      <c r="S14" s="38" t="s">
        <v>64</v>
      </c>
      <c r="T14" s="38" t="s">
        <v>64</v>
      </c>
      <c r="U14" s="40"/>
      <c r="W14" s="85">
        <f>+IF(COUNTIF(I14:T14,1)&gt;0,1,2)</f>
        <v>2</v>
      </c>
      <c r="X14" s="91">
        <v>2</v>
      </c>
      <c r="Y14" s="40"/>
      <c r="Z14" s="92">
        <f>+IF(Y14="",X14,Y14)</f>
        <v>2</v>
      </c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86">
        <v>2</v>
      </c>
      <c r="AW14" s="87">
        <f>+IF(AND(Z14="",AU14=""),SUM(W14,AV14)/2,IF(Z14=0,SUM(W14,AU14,AV14)/3,IF(AND(W14="",AU14="",AV14=""),Z14,IF(OR(AND(W14="",AU14=""),AND(W14="",AV14=""),(AND(AU14="",AV14=""))),(Z14*0.7+W14*0.3+AU14*0.3+AV14*0.3),IF(OR(W14="",AU14="",AV14=""),(Z14*0.5+W14*0.25+AU14*0.25+AV14*0.25),(Z14*0.4+W14*0.2+AU14*0.2+AV14*0.2))))))</f>
        <v>2</v>
      </c>
      <c r="AX14" s="64"/>
      <c r="AY14" s="64"/>
      <c r="AZ14" s="40"/>
      <c r="BA14" s="40"/>
      <c r="BB14" s="93" t="s">
        <v>1</v>
      </c>
      <c r="BC14" s="40"/>
      <c r="BD14" s="93" t="s">
        <v>1</v>
      </c>
      <c r="BF14" s="86">
        <v>3</v>
      </c>
      <c r="BG14" s="94" t="s">
        <v>74</v>
      </c>
    </row>
  </sheetData>
  <mergeCells count="25">
    <mergeCell ref="AC9:AD9"/>
    <mergeCell ref="I9:U9"/>
    <mergeCell ref="W9:W10"/>
    <mergeCell ref="X9:Y9"/>
    <mergeCell ref="Z9:Z10"/>
    <mergeCell ref="AA9:AB9"/>
    <mergeCell ref="AW9:AW10"/>
    <mergeCell ref="AE9:AF9"/>
    <mergeCell ref="AG9:AH9"/>
    <mergeCell ref="AI9:AI10"/>
    <mergeCell ref="AJ9:AL9"/>
    <mergeCell ref="AM9:AN9"/>
    <mergeCell ref="AO9:AP9"/>
    <mergeCell ref="AQ9:AR9"/>
    <mergeCell ref="AS9:AS10"/>
    <mergeCell ref="AT9:AT10"/>
    <mergeCell ref="AU9:AU10"/>
    <mergeCell ref="AV9:AV10"/>
    <mergeCell ref="BG9:BG10"/>
    <mergeCell ref="AZ9:AZ10"/>
    <mergeCell ref="BA9:BA10"/>
    <mergeCell ref="BB9:BB10"/>
    <mergeCell ref="BC9:BC10"/>
    <mergeCell ref="BD9:BD10"/>
    <mergeCell ref="BF9:BF10"/>
  </mergeCells>
  <conditionalFormatting sqref="I12 L12:R12">
    <cfRule type="containsText" dxfId="269" priority="57" operator="containsText" text="1">
      <formula>NOT(ISERROR(SEARCH("1",I12)))</formula>
    </cfRule>
  </conditionalFormatting>
  <conditionalFormatting sqref="I14 L14:R14">
    <cfRule type="containsText" dxfId="268" priority="27" operator="containsText" text="1">
      <formula>NOT(ISERROR(SEARCH("1",I14)))</formula>
    </cfRule>
  </conditionalFormatting>
  <conditionalFormatting sqref="I12:T12">
    <cfRule type="cellIs" dxfId="267" priority="45" operator="equal">
      <formula>1</formula>
    </cfRule>
  </conditionalFormatting>
  <conditionalFormatting sqref="I14:T14">
    <cfRule type="cellIs" dxfId="266" priority="15" operator="equal">
      <formula>1</formula>
    </cfRule>
  </conditionalFormatting>
  <conditionalFormatting sqref="L12">
    <cfRule type="containsText" dxfId="265" priority="43" operator="containsText" text="1">
      <formula>NOT(ISERROR(SEARCH("1",L12)))</formula>
    </cfRule>
    <cfRule type="containsText" dxfId="264" priority="42" operator="containsText" text="1">
      <formula>NOT(ISERROR(SEARCH("1",L12)))</formula>
    </cfRule>
    <cfRule type="cellIs" dxfId="263" priority="41" operator="equal">
      <formula>1.5</formula>
    </cfRule>
    <cfRule type="cellIs" dxfId="262" priority="44" operator="equal">
      <formula>1</formula>
    </cfRule>
  </conditionalFormatting>
  <conditionalFormatting sqref="L14">
    <cfRule type="cellIs" dxfId="261" priority="11" operator="equal">
      <formula>1.5</formula>
    </cfRule>
    <cfRule type="containsText" dxfId="260" priority="12" operator="containsText" text="1">
      <formula>NOT(ISERROR(SEARCH("1",L14)))</formula>
    </cfRule>
    <cfRule type="containsText" dxfId="259" priority="13" operator="containsText" text="1">
      <formula>NOT(ISERROR(SEARCH("1",L14)))</formula>
    </cfRule>
    <cfRule type="cellIs" dxfId="258" priority="14" operator="equal">
      <formula>1</formula>
    </cfRule>
  </conditionalFormatting>
  <conditionalFormatting sqref="L12:O12">
    <cfRule type="cellIs" dxfId="257" priority="37" operator="equal">
      <formula>1</formula>
    </cfRule>
  </conditionalFormatting>
  <conditionalFormatting sqref="L14:O14">
    <cfRule type="cellIs" dxfId="256" priority="7" operator="equal">
      <formula>1</formula>
    </cfRule>
  </conditionalFormatting>
  <conditionalFormatting sqref="L12:Q12">
    <cfRule type="containsText" dxfId="255" priority="59" operator="containsText" text="1">
      <formula>NOT(ISERROR(SEARCH("1",L12)))</formula>
    </cfRule>
    <cfRule type="containsText" dxfId="254" priority="60" operator="containsText" text="1">
      <formula>NOT(ISERROR(SEARCH("1",L12)))</formula>
    </cfRule>
    <cfRule type="cellIs" dxfId="253" priority="58" operator="equal">
      <formula>1</formula>
    </cfRule>
  </conditionalFormatting>
  <conditionalFormatting sqref="L14:Q14">
    <cfRule type="cellIs" dxfId="252" priority="28" operator="equal">
      <formula>1</formula>
    </cfRule>
    <cfRule type="containsText" dxfId="251" priority="29" operator="containsText" text="1">
      <formula>NOT(ISERROR(SEARCH("1",L14)))</formula>
    </cfRule>
    <cfRule type="containsText" dxfId="250" priority="30" operator="containsText" text="1">
      <formula>NOT(ISERROR(SEARCH("1",L14)))</formula>
    </cfRule>
  </conditionalFormatting>
  <conditionalFormatting sqref="L12:T12 I12">
    <cfRule type="containsText" dxfId="249" priority="56" operator="containsText" text="1">
      <formula>NOT(ISERROR(SEARCH("1",I12)))</formula>
    </cfRule>
  </conditionalFormatting>
  <conditionalFormatting sqref="L12:T12">
    <cfRule type="containsText" dxfId="248" priority="49" operator="containsText" text="1">
      <formula>NOT(ISERROR(SEARCH("1",L12)))</formula>
    </cfRule>
    <cfRule type="containsText" dxfId="247" priority="50" operator="containsText" text="1">
      <formula>NOT(ISERROR(SEARCH("1",L12)))</formula>
    </cfRule>
    <cfRule type="cellIs" dxfId="246" priority="51" operator="equal">
      <formula>1</formula>
    </cfRule>
  </conditionalFormatting>
  <conditionalFormatting sqref="L14:T14 I14">
    <cfRule type="containsText" dxfId="245" priority="26" operator="containsText" text="1">
      <formula>NOT(ISERROR(SEARCH("1",I14)))</formula>
    </cfRule>
  </conditionalFormatting>
  <conditionalFormatting sqref="L14:T14">
    <cfRule type="containsText" dxfId="244" priority="20" operator="containsText" text="1">
      <formula>NOT(ISERROR(SEARCH("1",L14)))</formula>
    </cfRule>
    <cfRule type="containsText" dxfId="243" priority="19" operator="containsText" text="1">
      <formula>NOT(ISERROR(SEARCH("1",L14)))</formula>
    </cfRule>
    <cfRule type="cellIs" dxfId="242" priority="21" operator="equal">
      <formula>1</formula>
    </cfRule>
  </conditionalFormatting>
  <conditionalFormatting sqref="M12:O12">
    <cfRule type="containsText" dxfId="241" priority="38" operator="containsText" text="1">
      <formula>NOT(ISERROR(SEARCH("1",M12)))</formula>
    </cfRule>
    <cfRule type="containsText" dxfId="240" priority="39" operator="containsText" text="1">
      <formula>NOT(ISERROR(SEARCH("1",M12)))</formula>
    </cfRule>
    <cfRule type="cellIs" dxfId="239" priority="40" operator="equal">
      <formula>1</formula>
    </cfRule>
  </conditionalFormatting>
  <conditionalFormatting sqref="M14:O14">
    <cfRule type="containsText" dxfId="238" priority="8" operator="containsText" text="1">
      <formula>NOT(ISERROR(SEARCH("1",M14)))</formula>
    </cfRule>
    <cfRule type="containsText" dxfId="237" priority="9" operator="containsText" text="1">
      <formula>NOT(ISERROR(SEARCH("1",M14)))</formula>
    </cfRule>
    <cfRule type="cellIs" dxfId="236" priority="10" operator="equal">
      <formula>1</formula>
    </cfRule>
  </conditionalFormatting>
  <conditionalFormatting sqref="P12:T12">
    <cfRule type="containsText" dxfId="235" priority="34" operator="containsText" text="1">
      <formula>NOT(ISERROR(SEARCH("1",P12)))</formula>
    </cfRule>
    <cfRule type="cellIs" dxfId="234" priority="36" operator="equal">
      <formula>1</formula>
    </cfRule>
    <cfRule type="containsText" dxfId="233" priority="35" operator="containsText" text="1">
      <formula>NOT(ISERROR(SEARCH("1",P12)))</formula>
    </cfRule>
  </conditionalFormatting>
  <conditionalFormatting sqref="P14:T14">
    <cfRule type="containsText" dxfId="232" priority="4" operator="containsText" text="1">
      <formula>NOT(ISERROR(SEARCH("1",P14)))</formula>
    </cfRule>
    <cfRule type="containsText" dxfId="231" priority="5" operator="containsText" text="1">
      <formula>NOT(ISERROR(SEARCH("1",P14)))</formula>
    </cfRule>
    <cfRule type="cellIs" dxfId="230" priority="6" operator="equal">
      <formula>1</formula>
    </cfRule>
  </conditionalFormatting>
  <conditionalFormatting sqref="T12">
    <cfRule type="containsText" dxfId="229" priority="47" operator="containsText" text="1">
      <formula>NOT(ISERROR(SEARCH("1",T12)))</formula>
    </cfRule>
    <cfRule type="cellIs" dxfId="228" priority="48" operator="equal">
      <formula>1</formula>
    </cfRule>
    <cfRule type="containsText" dxfId="227" priority="46" operator="containsText" text="1">
      <formula>NOT(ISERROR(SEARCH("1",T12)))</formula>
    </cfRule>
  </conditionalFormatting>
  <conditionalFormatting sqref="T14">
    <cfRule type="cellIs" dxfId="226" priority="18" operator="equal">
      <formula>1</formula>
    </cfRule>
    <cfRule type="containsText" dxfId="225" priority="17" operator="containsText" text="1">
      <formula>NOT(ISERROR(SEARCH("1",T14)))</formula>
    </cfRule>
    <cfRule type="containsText" dxfId="224" priority="16" operator="containsText" text="1">
      <formula>NOT(ISERROR(SEARCH("1",T14)))</formula>
    </cfRule>
  </conditionalFormatting>
  <conditionalFormatting sqref="W12">
    <cfRule type="containsText" dxfId="223" priority="54" operator="containsText" text="1">
      <formula>NOT(ISERROR(SEARCH("1",W12)))</formula>
    </cfRule>
    <cfRule type="cellIs" dxfId="222" priority="55" operator="equal">
      <formula>1</formula>
    </cfRule>
  </conditionalFormatting>
  <conditionalFormatting sqref="W14">
    <cfRule type="cellIs" dxfId="221" priority="25" operator="equal">
      <formula>1</formula>
    </cfRule>
    <cfRule type="containsText" dxfId="220" priority="24" operator="containsText" text="1">
      <formula>NOT(ISERROR(SEARCH("1",W14)))</formula>
    </cfRule>
  </conditionalFormatting>
  <conditionalFormatting sqref="AV12">
    <cfRule type="cellIs" dxfId="219" priority="32" operator="lessThan">
      <formula>1.5</formula>
    </cfRule>
    <cfRule type="cellIs" dxfId="218" priority="33" operator="equal">
      <formula>1</formula>
    </cfRule>
  </conditionalFormatting>
  <conditionalFormatting sqref="AV14">
    <cfRule type="cellIs" dxfId="217" priority="3" operator="equal">
      <formula>1</formula>
    </cfRule>
    <cfRule type="cellIs" dxfId="216" priority="2" operator="lessThan">
      <formula>1.5</formula>
    </cfRule>
  </conditionalFormatting>
  <conditionalFormatting sqref="AW12">
    <cfRule type="cellIs" dxfId="215" priority="31" operator="lessThan">
      <formula>1.6</formula>
    </cfRule>
  </conditionalFormatting>
  <conditionalFormatting sqref="AW14">
    <cfRule type="cellIs" dxfId="214" priority="1" operator="lessThan">
      <formula>1.6</formula>
    </cfRule>
  </conditionalFormatting>
  <conditionalFormatting sqref="BF12">
    <cfRule type="containsText" dxfId="213" priority="52" operator="containsText" text="4">
      <formula>NOT(ISERROR(SEARCH("4",BF12)))</formula>
    </cfRule>
    <cfRule type="containsText" dxfId="212" priority="53" operator="containsText" text="1">
      <formula>NOT(ISERROR(SEARCH("1",BF12)))</formula>
    </cfRule>
  </conditionalFormatting>
  <conditionalFormatting sqref="BF14">
    <cfRule type="containsText" dxfId="211" priority="23" operator="containsText" text="1">
      <formula>NOT(ISERROR(SEARCH("1",BF14)))</formula>
    </cfRule>
    <cfRule type="containsText" dxfId="210" priority="22" operator="containsText" text="4">
      <formula>NOT(ISERROR(SEARCH("4",BF14)))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9EC8-283C-4903-85E0-20899F164C42}">
  <sheetPr>
    <tabColor rgb="FF92D050"/>
  </sheetPr>
  <dimension ref="B8:BF15"/>
  <sheetViews>
    <sheetView showGridLines="0" zoomScale="80" zoomScaleNormal="80" workbookViewId="0">
      <selection activeCell="AE24" sqref="AE24"/>
    </sheetView>
  </sheetViews>
  <sheetFormatPr baseColWidth="10" defaultRowHeight="15" x14ac:dyDescent="0.25"/>
  <cols>
    <col min="2" max="2" width="5.140625" style="1" customWidth="1"/>
    <col min="3" max="3" width="16.7109375" customWidth="1"/>
    <col min="4" max="4" width="22.5703125" hidden="1" customWidth="1"/>
    <col min="5" max="7" width="11.5703125" hidden="1" customWidth="1"/>
    <col min="8" max="8" width="15.5703125" customWidth="1"/>
    <col min="9" max="9" width="11.5703125" hidden="1" customWidth="1"/>
    <col min="10" max="10" width="18.85546875" hidden="1" customWidth="1"/>
    <col min="11" max="12" width="16" hidden="1" customWidth="1"/>
    <col min="13" max="13" width="15.5703125" hidden="1" customWidth="1"/>
    <col min="14" max="14" width="16" hidden="1" customWidth="1"/>
    <col min="15" max="15" width="15.7109375" hidden="1" customWidth="1"/>
    <col min="16" max="16" width="11.5703125" hidden="1" customWidth="1"/>
    <col min="17" max="17" width="17.42578125" hidden="1" customWidth="1"/>
    <col min="18" max="18" width="7.28515625" hidden="1" customWidth="1"/>
    <col min="19" max="19" width="16.7109375" hidden="1" customWidth="1"/>
    <col min="20" max="20" width="17" hidden="1" customWidth="1"/>
    <col min="21" max="22" width="0" hidden="1" customWidth="1"/>
    <col min="23" max="23" width="13" customWidth="1"/>
    <col min="24" max="24" width="10.7109375" customWidth="1"/>
    <col min="25" max="25" width="18" customWidth="1"/>
    <col min="26" max="26" width="12.7109375" customWidth="1"/>
    <col min="27" max="27" width="19.7109375" customWidth="1"/>
    <col min="28" max="28" width="11.5703125" customWidth="1"/>
    <col min="29" max="29" width="17.28515625" customWidth="1"/>
    <col min="30" max="30" width="15.5703125" customWidth="1"/>
    <col min="31" max="31" width="14.42578125" customWidth="1"/>
    <col min="32" max="32" width="16.28515625" customWidth="1"/>
    <col min="33" max="33" width="17.85546875" customWidth="1"/>
    <col min="34" max="34" width="12" customWidth="1"/>
    <col min="35" max="35" width="17.140625" customWidth="1"/>
    <col min="36" max="45" width="11.5703125" hidden="1" customWidth="1"/>
    <col min="46" max="46" width="0" hidden="1" customWidth="1"/>
    <col min="49" max="49" width="16.140625" customWidth="1"/>
    <col min="52" max="52" width="15.42578125" customWidth="1"/>
    <col min="53" max="53" width="9.85546875" customWidth="1"/>
    <col min="54" max="54" width="18.140625" customWidth="1"/>
    <col min="55" max="55" width="10.28515625" customWidth="1"/>
    <col min="57" max="57" width="13.5703125" customWidth="1"/>
    <col min="58" max="58" width="64.7109375" customWidth="1"/>
  </cols>
  <sheetData>
    <row r="8" spans="2:58" ht="15.75" thickBot="1" x14ac:dyDescent="0.3"/>
    <row r="9" spans="2:58" ht="15.75" thickBot="1" x14ac:dyDescent="0.3"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5"/>
      <c r="V9" s="4"/>
      <c r="W9" s="186" t="s">
        <v>2</v>
      </c>
      <c r="X9" s="188" t="s">
        <v>3</v>
      </c>
      <c r="Y9" s="189"/>
      <c r="Z9" s="190" t="s">
        <v>4</v>
      </c>
      <c r="AA9" s="192" t="s">
        <v>5</v>
      </c>
      <c r="AB9" s="193"/>
      <c r="AC9" s="181" t="s">
        <v>6</v>
      </c>
      <c r="AD9" s="182"/>
      <c r="AE9" s="176" t="s">
        <v>7</v>
      </c>
      <c r="AF9" s="177"/>
      <c r="AG9" s="168" t="s">
        <v>8</v>
      </c>
      <c r="AH9" s="169"/>
      <c r="AI9" s="170" t="s">
        <v>9</v>
      </c>
      <c r="AJ9" s="178" t="s">
        <v>10</v>
      </c>
      <c r="AK9" s="179"/>
      <c r="AL9" s="180"/>
      <c r="AM9" s="181" t="s">
        <v>11</v>
      </c>
      <c r="AN9" s="182"/>
      <c r="AO9" s="176" t="s">
        <v>12</v>
      </c>
      <c r="AP9" s="177"/>
      <c r="AQ9" s="168" t="s">
        <v>13</v>
      </c>
      <c r="AR9" s="169"/>
      <c r="AS9" s="170" t="s">
        <v>9</v>
      </c>
      <c r="AT9" s="172" t="s">
        <v>14</v>
      </c>
      <c r="AU9" s="172" t="s">
        <v>15</v>
      </c>
      <c r="AV9" s="174" t="s">
        <v>16</v>
      </c>
      <c r="AW9" s="162" t="s">
        <v>17</v>
      </c>
      <c r="AY9" s="164" t="s">
        <v>18</v>
      </c>
      <c r="AZ9" s="164" t="s">
        <v>19</v>
      </c>
      <c r="BA9" s="164" t="s">
        <v>20</v>
      </c>
      <c r="BB9" s="164" t="s">
        <v>21</v>
      </c>
      <c r="BC9" s="194" t="s">
        <v>22</v>
      </c>
      <c r="BD9" s="5"/>
      <c r="BE9" s="162" t="s">
        <v>23</v>
      </c>
      <c r="BF9" s="162" t="s">
        <v>24</v>
      </c>
    </row>
    <row r="10" spans="2:58" ht="90.75" thickBot="1" x14ac:dyDescent="0.3">
      <c r="C10" s="6" t="s">
        <v>25</v>
      </c>
      <c r="D10" s="7"/>
      <c r="E10" s="7" t="s">
        <v>26</v>
      </c>
      <c r="F10" s="7" t="s">
        <v>27</v>
      </c>
      <c r="G10" s="7"/>
      <c r="H10" s="8" t="s">
        <v>28</v>
      </c>
      <c r="I10" s="7" t="s">
        <v>29</v>
      </c>
      <c r="J10" s="7" t="s">
        <v>30</v>
      </c>
      <c r="K10" s="7" t="s">
        <v>31</v>
      </c>
      <c r="L10" s="7" t="s">
        <v>32</v>
      </c>
      <c r="M10" s="7" t="s">
        <v>33</v>
      </c>
      <c r="N10" s="7" t="s">
        <v>34</v>
      </c>
      <c r="O10" s="7" t="s">
        <v>35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9" t="s">
        <v>41</v>
      </c>
      <c r="V10" s="10"/>
      <c r="W10" s="187"/>
      <c r="X10" s="11" t="s">
        <v>42</v>
      </c>
      <c r="Y10" s="12" t="s">
        <v>43</v>
      </c>
      <c r="Z10" s="191"/>
      <c r="AA10" s="95" t="s">
        <v>44</v>
      </c>
      <c r="AB10" s="96" t="s">
        <v>45</v>
      </c>
      <c r="AC10" s="97" t="s">
        <v>46</v>
      </c>
      <c r="AD10" s="98" t="s">
        <v>47</v>
      </c>
      <c r="AE10" s="99" t="s">
        <v>48</v>
      </c>
      <c r="AF10" s="99" t="s">
        <v>49</v>
      </c>
      <c r="AG10" s="100" t="s">
        <v>50</v>
      </c>
      <c r="AH10" s="101" t="s">
        <v>51</v>
      </c>
      <c r="AI10" s="171"/>
      <c r="AJ10" s="20" t="s">
        <v>52</v>
      </c>
      <c r="AK10" s="21" t="s">
        <v>53</v>
      </c>
      <c r="AL10" s="22" t="s">
        <v>54</v>
      </c>
      <c r="AM10" s="23" t="s">
        <v>55</v>
      </c>
      <c r="AN10" s="24" t="s">
        <v>56</v>
      </c>
      <c r="AO10" s="25" t="s">
        <v>111</v>
      </c>
      <c r="AP10" s="25" t="s">
        <v>112</v>
      </c>
      <c r="AQ10" s="26" t="s">
        <v>61</v>
      </c>
      <c r="AR10" s="27" t="s">
        <v>62</v>
      </c>
      <c r="AS10" s="171"/>
      <c r="AT10" s="173"/>
      <c r="AU10" s="173"/>
      <c r="AV10" s="175"/>
      <c r="AW10" s="163"/>
      <c r="AX10" s="28"/>
      <c r="AY10" s="165"/>
      <c r="AZ10" s="165"/>
      <c r="BA10" s="165"/>
      <c r="BB10" s="165"/>
      <c r="BC10" s="195"/>
      <c r="BD10" s="5"/>
      <c r="BE10" s="163"/>
      <c r="BF10" s="163"/>
    </row>
    <row r="11" spans="2:58" x14ac:dyDescent="0.25">
      <c r="C11" s="32"/>
      <c r="D11" s="32"/>
      <c r="E11" s="32"/>
      <c r="F11" s="32"/>
      <c r="G11" s="31"/>
      <c r="H11" s="31"/>
      <c r="I11" s="32"/>
      <c r="J11" s="32"/>
      <c r="K11" s="32"/>
      <c r="L11" s="32"/>
      <c r="M11" s="32"/>
      <c r="N11" s="32"/>
      <c r="O11" s="32"/>
      <c r="P11" s="31"/>
      <c r="Q11" s="31"/>
      <c r="R11" s="32"/>
      <c r="S11" s="31"/>
      <c r="T11" s="32"/>
      <c r="U11" s="33"/>
      <c r="V11" s="5"/>
      <c r="W11" s="32"/>
      <c r="X11" s="5"/>
      <c r="Y11" s="5"/>
      <c r="Z11" s="80"/>
      <c r="AB11" s="32"/>
      <c r="AC11" s="32"/>
      <c r="AD11" s="32"/>
      <c r="AE11" s="32"/>
      <c r="AF11" s="32"/>
      <c r="AG11" s="5"/>
      <c r="AH11" s="81"/>
      <c r="AI11" s="81"/>
    </row>
    <row r="12" spans="2:58" ht="37.9" customHeight="1" x14ac:dyDescent="0.25">
      <c r="B12" s="38">
        <v>34</v>
      </c>
      <c r="C12" s="67" t="s">
        <v>77</v>
      </c>
      <c r="D12" s="67" t="s">
        <v>78</v>
      </c>
      <c r="E12" s="37" t="s">
        <v>79</v>
      </c>
      <c r="F12" s="37" t="s">
        <v>80</v>
      </c>
      <c r="G12" s="37" t="s">
        <v>80</v>
      </c>
      <c r="H12" s="38" t="s">
        <v>69</v>
      </c>
      <c r="I12" s="39">
        <v>2</v>
      </c>
      <c r="J12" s="39">
        <v>2</v>
      </c>
      <c r="K12" s="39">
        <v>2</v>
      </c>
      <c r="L12" s="39">
        <v>2</v>
      </c>
      <c r="M12" s="39">
        <v>2</v>
      </c>
      <c r="N12" s="39">
        <v>2</v>
      </c>
      <c r="O12" s="39">
        <v>2</v>
      </c>
      <c r="P12" s="39" t="s">
        <v>64</v>
      </c>
      <c r="Q12" s="39" t="s">
        <v>64</v>
      </c>
      <c r="R12" s="39" t="s">
        <v>64</v>
      </c>
      <c r="S12" s="39" t="s">
        <v>64</v>
      </c>
      <c r="T12" s="39" t="s">
        <v>64</v>
      </c>
      <c r="U12" s="40"/>
      <c r="V12" s="41">
        <f>+COUNT(I12:U12)*2</f>
        <v>14</v>
      </c>
      <c r="W12" s="148">
        <f>+IF(COUNTIF(I12:T12,1)&gt;0,1,2)</f>
        <v>2</v>
      </c>
      <c r="X12" s="149">
        <v>2</v>
      </c>
      <c r="Y12" s="150"/>
      <c r="Z12" s="151">
        <f>+IF(Y12="",X12,Y12)</f>
        <v>2</v>
      </c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48">
        <v>2</v>
      </c>
      <c r="AW12" s="148">
        <f>+IF(AND(Z12="",AU12=""),SUM(W12,AV12)/2,IF(Z12=0,SUM(W12,AU12,AV12)/3,IF(AND(W12="",AU12="",AV12=""),Z12,IF(OR(AND(W12="",AU12=""),AND(W12="",AV12=""),(AND(AU12="",AV12=""))),(Z12*0.7+W12*0.3+AU12*0.3+AV12*0.3),IF(OR(W12="",AU12="",AV12=""),(Z12*0.5+W12*0.25+AU12*0.25+AV12*0.25),(Z12*0.4+W12*0.2+AU12*0.2+AV12*0.2))))))</f>
        <v>2</v>
      </c>
      <c r="AX12" s="152"/>
      <c r="AY12" s="153"/>
      <c r="AZ12" s="153"/>
      <c r="BA12" s="153"/>
      <c r="BB12" s="153"/>
      <c r="BC12" s="112" t="s">
        <v>1</v>
      </c>
      <c r="BD12" s="154"/>
      <c r="BE12" s="148">
        <v>2</v>
      </c>
      <c r="BF12" s="44"/>
    </row>
    <row r="13" spans="2:58" ht="17.25" x14ac:dyDescent="0.25"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4"/>
      <c r="AY13" s="154"/>
      <c r="AZ13" s="154"/>
      <c r="BA13" s="154"/>
      <c r="BB13" s="154"/>
      <c r="BC13" s="154"/>
      <c r="BD13" s="154"/>
      <c r="BE13" s="156"/>
    </row>
    <row r="14" spans="2:58" ht="97.9" customHeight="1" x14ac:dyDescent="0.25">
      <c r="B14" s="38">
        <v>37</v>
      </c>
      <c r="C14" s="67" t="s">
        <v>81</v>
      </c>
      <c r="D14" s="67" t="s">
        <v>81</v>
      </c>
      <c r="E14" s="37" t="s">
        <v>82</v>
      </c>
      <c r="F14" s="37" t="s">
        <v>83</v>
      </c>
      <c r="G14" s="37" t="s">
        <v>83</v>
      </c>
      <c r="H14" s="38" t="s">
        <v>69</v>
      </c>
      <c r="I14" s="39">
        <v>2</v>
      </c>
      <c r="J14" s="39">
        <v>2</v>
      </c>
      <c r="K14" s="39">
        <v>2</v>
      </c>
      <c r="L14" s="39">
        <v>2</v>
      </c>
      <c r="M14" s="39">
        <v>2</v>
      </c>
      <c r="N14" s="39">
        <v>2</v>
      </c>
      <c r="O14" s="39">
        <v>2</v>
      </c>
      <c r="P14" s="39" t="s">
        <v>64</v>
      </c>
      <c r="Q14" s="39" t="s">
        <v>64</v>
      </c>
      <c r="R14" s="39" t="s">
        <v>64</v>
      </c>
      <c r="S14" s="39" t="s">
        <v>64</v>
      </c>
      <c r="T14" s="39" t="s">
        <v>64</v>
      </c>
      <c r="U14" s="40"/>
      <c r="V14" s="41">
        <f>+COUNT(I14:U14)*2</f>
        <v>14</v>
      </c>
      <c r="W14" s="148">
        <f>+IF(COUNTIF(I14:T14,1)&gt;0,1,2)</f>
        <v>2</v>
      </c>
      <c r="X14" s="149">
        <v>2</v>
      </c>
      <c r="Y14" s="150"/>
      <c r="Z14" s="151">
        <f>+IF(Y14="",X14,Y14)</f>
        <v>2</v>
      </c>
      <c r="AA14" s="157">
        <v>3</v>
      </c>
      <c r="AB14" s="157">
        <v>3</v>
      </c>
      <c r="AC14" s="157">
        <v>3</v>
      </c>
      <c r="AD14" s="158">
        <v>2</v>
      </c>
      <c r="AE14" s="150"/>
      <c r="AF14" s="150"/>
      <c r="AG14" s="158">
        <v>2</v>
      </c>
      <c r="AH14" s="157">
        <v>3</v>
      </c>
      <c r="AI14" s="157" t="s">
        <v>66</v>
      </c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9">
        <f>+IFERROR(AVERAGE(AJ14:AR14,AA14:AH14),"")-1</f>
        <v>1.6666666666666665</v>
      </c>
      <c r="AU14" s="148">
        <v>2</v>
      </c>
      <c r="AV14" s="148">
        <v>2</v>
      </c>
      <c r="AW14" s="148">
        <f>+IF(AND(Z14="",AU14=""),SUM(W14,AV14)/2,IF(Z14=0,SUM(W14,AU14,AV14)/3,IF(AND(W14="",AU14="",AV14=""),Z14,IF(OR(AND(W14="",AU14=""),AND(W14="",AV14=""),(AND(AU14="",AV14=""))),(Z14*0.7+W14*0.3+AU14*0.3+AV14*0.3),IF(OR(W14="",AU14="",AV14=""),(Z14*0.5+W14*0.25+AU14*0.25+AV14*0.25),(Z14*0.4+W14*0.2+AU14*0.2+AV14*0.2))))))</f>
        <v>2</v>
      </c>
      <c r="AX14" s="160"/>
      <c r="AY14" s="153"/>
      <c r="AZ14" s="153"/>
      <c r="BA14" s="153"/>
      <c r="BB14" s="153"/>
      <c r="BC14" s="161" t="s">
        <v>68</v>
      </c>
      <c r="BD14" s="154"/>
      <c r="BE14" s="148">
        <v>2</v>
      </c>
      <c r="BF14" s="124" t="s">
        <v>84</v>
      </c>
    </row>
    <row r="15" spans="2:58" x14ac:dyDescent="0.25">
      <c r="BE15" s="1"/>
    </row>
  </sheetData>
  <mergeCells count="25">
    <mergeCell ref="AC9:AD9"/>
    <mergeCell ref="I9:U9"/>
    <mergeCell ref="W9:W10"/>
    <mergeCell ref="X9:Y9"/>
    <mergeCell ref="Z9:Z10"/>
    <mergeCell ref="AA9:AB9"/>
    <mergeCell ref="AW9:AW10"/>
    <mergeCell ref="AE9:AF9"/>
    <mergeCell ref="AG9:AH9"/>
    <mergeCell ref="AI9:AI10"/>
    <mergeCell ref="AJ9:AL9"/>
    <mergeCell ref="AM9:AN9"/>
    <mergeCell ref="AO9:AP9"/>
    <mergeCell ref="AQ9:AR9"/>
    <mergeCell ref="AS9:AS10"/>
    <mergeCell ref="AT9:AT10"/>
    <mergeCell ref="AU9:AU10"/>
    <mergeCell ref="AV9:AV10"/>
    <mergeCell ref="BF9:BF10"/>
    <mergeCell ref="AY9:AY10"/>
    <mergeCell ref="AZ9:AZ10"/>
    <mergeCell ref="BA9:BA10"/>
    <mergeCell ref="BB9:BB10"/>
    <mergeCell ref="BC9:BC10"/>
    <mergeCell ref="BE9:BE10"/>
  </mergeCells>
  <conditionalFormatting sqref="I12 L12:R12">
    <cfRule type="containsText" dxfId="209" priority="57" operator="containsText" text="1">
      <formula>NOT(ISERROR(SEARCH("1",I12)))</formula>
    </cfRule>
  </conditionalFormatting>
  <conditionalFormatting sqref="I14 L14:R14">
    <cfRule type="containsText" dxfId="208" priority="27" operator="containsText" text="1">
      <formula>NOT(ISERROR(SEARCH("1",I14)))</formula>
    </cfRule>
  </conditionalFormatting>
  <conditionalFormatting sqref="I12:T12">
    <cfRule type="cellIs" dxfId="207" priority="45" operator="equal">
      <formula>1</formula>
    </cfRule>
  </conditionalFormatting>
  <conditionalFormatting sqref="I14:T14">
    <cfRule type="cellIs" dxfId="206" priority="15" operator="equal">
      <formula>1</formula>
    </cfRule>
  </conditionalFormatting>
  <conditionalFormatting sqref="L12">
    <cfRule type="containsText" dxfId="205" priority="43" operator="containsText" text="1">
      <formula>NOT(ISERROR(SEARCH("1",L12)))</formula>
    </cfRule>
    <cfRule type="containsText" dxfId="204" priority="42" operator="containsText" text="1">
      <formula>NOT(ISERROR(SEARCH("1",L12)))</formula>
    </cfRule>
    <cfRule type="cellIs" dxfId="203" priority="41" operator="equal">
      <formula>1.5</formula>
    </cfRule>
    <cfRule type="cellIs" dxfId="202" priority="44" operator="equal">
      <formula>1</formula>
    </cfRule>
  </conditionalFormatting>
  <conditionalFormatting sqref="L14">
    <cfRule type="cellIs" dxfId="201" priority="11" operator="equal">
      <formula>1.5</formula>
    </cfRule>
    <cfRule type="containsText" dxfId="200" priority="12" operator="containsText" text="1">
      <formula>NOT(ISERROR(SEARCH("1",L14)))</formula>
    </cfRule>
    <cfRule type="containsText" dxfId="199" priority="13" operator="containsText" text="1">
      <formula>NOT(ISERROR(SEARCH("1",L14)))</formula>
    </cfRule>
    <cfRule type="cellIs" dxfId="198" priority="14" operator="equal">
      <formula>1</formula>
    </cfRule>
  </conditionalFormatting>
  <conditionalFormatting sqref="L12:O12">
    <cfRule type="cellIs" dxfId="197" priority="37" operator="equal">
      <formula>1</formula>
    </cfRule>
  </conditionalFormatting>
  <conditionalFormatting sqref="L14:O14">
    <cfRule type="cellIs" dxfId="196" priority="7" operator="equal">
      <formula>1</formula>
    </cfRule>
  </conditionalFormatting>
  <conditionalFormatting sqref="L12:Q12">
    <cfRule type="containsText" dxfId="195" priority="59" operator="containsText" text="1">
      <formula>NOT(ISERROR(SEARCH("1",L12)))</formula>
    </cfRule>
    <cfRule type="containsText" dxfId="194" priority="60" operator="containsText" text="1">
      <formula>NOT(ISERROR(SEARCH("1",L12)))</formula>
    </cfRule>
    <cfRule type="cellIs" dxfId="193" priority="58" operator="equal">
      <formula>1</formula>
    </cfRule>
  </conditionalFormatting>
  <conditionalFormatting sqref="L14:Q14">
    <cfRule type="cellIs" dxfId="192" priority="28" operator="equal">
      <formula>1</formula>
    </cfRule>
    <cfRule type="containsText" dxfId="191" priority="29" operator="containsText" text="1">
      <formula>NOT(ISERROR(SEARCH("1",L14)))</formula>
    </cfRule>
    <cfRule type="containsText" dxfId="190" priority="30" operator="containsText" text="1">
      <formula>NOT(ISERROR(SEARCH("1",L14)))</formula>
    </cfRule>
  </conditionalFormatting>
  <conditionalFormatting sqref="L12:T12 I12">
    <cfRule type="containsText" dxfId="189" priority="56" operator="containsText" text="1">
      <formula>NOT(ISERROR(SEARCH("1",I12)))</formula>
    </cfRule>
  </conditionalFormatting>
  <conditionalFormatting sqref="L12:T12">
    <cfRule type="containsText" dxfId="188" priority="49" operator="containsText" text="1">
      <formula>NOT(ISERROR(SEARCH("1",L12)))</formula>
    </cfRule>
    <cfRule type="containsText" dxfId="187" priority="50" operator="containsText" text="1">
      <formula>NOT(ISERROR(SEARCH("1",L12)))</formula>
    </cfRule>
    <cfRule type="cellIs" dxfId="186" priority="51" operator="equal">
      <formula>1</formula>
    </cfRule>
  </conditionalFormatting>
  <conditionalFormatting sqref="L14:T14 I14">
    <cfRule type="containsText" dxfId="185" priority="26" operator="containsText" text="1">
      <formula>NOT(ISERROR(SEARCH("1",I14)))</formula>
    </cfRule>
  </conditionalFormatting>
  <conditionalFormatting sqref="L14:T14">
    <cfRule type="containsText" dxfId="184" priority="20" operator="containsText" text="1">
      <formula>NOT(ISERROR(SEARCH("1",L14)))</formula>
    </cfRule>
    <cfRule type="containsText" dxfId="183" priority="19" operator="containsText" text="1">
      <formula>NOT(ISERROR(SEARCH("1",L14)))</formula>
    </cfRule>
    <cfRule type="cellIs" dxfId="182" priority="21" operator="equal">
      <formula>1</formula>
    </cfRule>
  </conditionalFormatting>
  <conditionalFormatting sqref="M12:O12">
    <cfRule type="containsText" dxfId="181" priority="38" operator="containsText" text="1">
      <formula>NOT(ISERROR(SEARCH("1",M12)))</formula>
    </cfRule>
    <cfRule type="containsText" dxfId="180" priority="39" operator="containsText" text="1">
      <formula>NOT(ISERROR(SEARCH("1",M12)))</formula>
    </cfRule>
    <cfRule type="cellIs" dxfId="179" priority="40" operator="equal">
      <formula>1</formula>
    </cfRule>
  </conditionalFormatting>
  <conditionalFormatting sqref="M14:O14">
    <cfRule type="containsText" dxfId="178" priority="8" operator="containsText" text="1">
      <formula>NOT(ISERROR(SEARCH("1",M14)))</formula>
    </cfRule>
    <cfRule type="containsText" dxfId="177" priority="9" operator="containsText" text="1">
      <formula>NOT(ISERROR(SEARCH("1",M14)))</formula>
    </cfRule>
    <cfRule type="cellIs" dxfId="176" priority="10" operator="equal">
      <formula>1</formula>
    </cfRule>
  </conditionalFormatting>
  <conditionalFormatting sqref="P12:T12">
    <cfRule type="containsText" dxfId="175" priority="34" operator="containsText" text="1">
      <formula>NOT(ISERROR(SEARCH("1",P12)))</formula>
    </cfRule>
    <cfRule type="cellIs" dxfId="174" priority="36" operator="equal">
      <formula>1</formula>
    </cfRule>
    <cfRule type="containsText" dxfId="173" priority="35" operator="containsText" text="1">
      <formula>NOT(ISERROR(SEARCH("1",P12)))</formula>
    </cfRule>
  </conditionalFormatting>
  <conditionalFormatting sqref="P14:T14">
    <cfRule type="containsText" dxfId="172" priority="4" operator="containsText" text="1">
      <formula>NOT(ISERROR(SEARCH("1",P14)))</formula>
    </cfRule>
    <cfRule type="containsText" dxfId="171" priority="5" operator="containsText" text="1">
      <formula>NOT(ISERROR(SEARCH("1",P14)))</formula>
    </cfRule>
    <cfRule type="cellIs" dxfId="170" priority="6" operator="equal">
      <formula>1</formula>
    </cfRule>
  </conditionalFormatting>
  <conditionalFormatting sqref="T12">
    <cfRule type="containsText" dxfId="169" priority="47" operator="containsText" text="1">
      <formula>NOT(ISERROR(SEARCH("1",T12)))</formula>
    </cfRule>
    <cfRule type="cellIs" dxfId="168" priority="48" operator="equal">
      <formula>1</formula>
    </cfRule>
    <cfRule type="containsText" dxfId="167" priority="46" operator="containsText" text="1">
      <formula>NOT(ISERROR(SEARCH("1",T12)))</formula>
    </cfRule>
  </conditionalFormatting>
  <conditionalFormatting sqref="T14">
    <cfRule type="cellIs" dxfId="166" priority="18" operator="equal">
      <formula>1</formula>
    </cfRule>
    <cfRule type="containsText" dxfId="165" priority="17" operator="containsText" text="1">
      <formula>NOT(ISERROR(SEARCH("1",T14)))</formula>
    </cfRule>
    <cfRule type="containsText" dxfId="164" priority="16" operator="containsText" text="1">
      <formula>NOT(ISERROR(SEARCH("1",T14)))</formula>
    </cfRule>
  </conditionalFormatting>
  <conditionalFormatting sqref="W12">
    <cfRule type="containsText" dxfId="163" priority="54" operator="containsText" text="1">
      <formula>NOT(ISERROR(SEARCH("1",W12)))</formula>
    </cfRule>
    <cfRule type="cellIs" dxfId="162" priority="55" operator="equal">
      <formula>1</formula>
    </cfRule>
  </conditionalFormatting>
  <conditionalFormatting sqref="W14">
    <cfRule type="cellIs" dxfId="161" priority="25" operator="equal">
      <formula>1</formula>
    </cfRule>
    <cfRule type="containsText" dxfId="160" priority="24" operator="containsText" text="1">
      <formula>NOT(ISERROR(SEARCH("1",W14)))</formula>
    </cfRule>
  </conditionalFormatting>
  <conditionalFormatting sqref="AV12">
    <cfRule type="cellIs" dxfId="159" priority="32" operator="lessThan">
      <formula>1.5</formula>
    </cfRule>
    <cfRule type="cellIs" dxfId="158" priority="33" operator="equal">
      <formula>1</formula>
    </cfRule>
  </conditionalFormatting>
  <conditionalFormatting sqref="AV14">
    <cfRule type="cellIs" dxfId="157" priority="3" operator="equal">
      <formula>1</formula>
    </cfRule>
    <cfRule type="cellIs" dxfId="156" priority="2" operator="lessThan">
      <formula>1.5</formula>
    </cfRule>
  </conditionalFormatting>
  <conditionalFormatting sqref="AW12">
    <cfRule type="cellIs" dxfId="155" priority="31" operator="lessThan">
      <formula>1.6</formula>
    </cfRule>
  </conditionalFormatting>
  <conditionalFormatting sqref="AW14">
    <cfRule type="cellIs" dxfId="154" priority="1" operator="lessThan">
      <formula>1.6</formula>
    </cfRule>
  </conditionalFormatting>
  <conditionalFormatting sqref="BE12">
    <cfRule type="containsText" dxfId="153" priority="52" operator="containsText" text="4">
      <formula>NOT(ISERROR(SEARCH("4",BE12)))</formula>
    </cfRule>
    <cfRule type="containsText" dxfId="152" priority="53" operator="containsText" text="1">
      <formula>NOT(ISERROR(SEARCH("1",BE12)))</formula>
    </cfRule>
  </conditionalFormatting>
  <conditionalFormatting sqref="BE14">
    <cfRule type="containsText" dxfId="151" priority="23" operator="containsText" text="1">
      <formula>NOT(ISERROR(SEARCH("1",BE14)))</formula>
    </cfRule>
    <cfRule type="containsText" dxfId="150" priority="22" operator="containsText" text="4">
      <formula>NOT(ISERROR(SEARCH("4",BE14)))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7DB3-507D-4CD4-AE3E-92AEDCBC8C45}">
  <sheetPr>
    <tabColor rgb="FF92D050"/>
  </sheetPr>
  <dimension ref="B8:BF18"/>
  <sheetViews>
    <sheetView showGridLines="0" zoomScale="70" zoomScaleNormal="70" workbookViewId="0">
      <selection activeCell="B3" sqref="B3:BF18"/>
    </sheetView>
  </sheetViews>
  <sheetFormatPr baseColWidth="10" defaultRowHeight="15" x14ac:dyDescent="0.25"/>
  <cols>
    <col min="2" max="2" width="5.140625" style="1" customWidth="1"/>
    <col min="3" max="3" width="22.85546875" customWidth="1"/>
    <col min="4" max="4" width="22.5703125" hidden="1" customWidth="1"/>
    <col min="5" max="7" width="11.5703125" hidden="1" customWidth="1"/>
    <col min="8" max="8" width="15.5703125" customWidth="1"/>
    <col min="9" max="9" width="11.5703125" hidden="1" customWidth="1"/>
    <col min="10" max="10" width="18.85546875" hidden="1" customWidth="1"/>
    <col min="11" max="12" width="16" hidden="1" customWidth="1"/>
    <col min="13" max="13" width="15.5703125" hidden="1" customWidth="1"/>
    <col min="14" max="14" width="16" hidden="1" customWidth="1"/>
    <col min="15" max="15" width="15.7109375" hidden="1" customWidth="1"/>
    <col min="16" max="16" width="11.5703125" hidden="1" customWidth="1"/>
    <col min="17" max="17" width="17.42578125" hidden="1" customWidth="1"/>
    <col min="18" max="18" width="7.28515625" hidden="1" customWidth="1"/>
    <col min="19" max="19" width="16.7109375" hidden="1" customWidth="1"/>
    <col min="20" max="20" width="17" hidden="1" customWidth="1"/>
    <col min="21" max="22" width="0" hidden="1" customWidth="1"/>
    <col min="23" max="23" width="12.5703125" customWidth="1"/>
    <col min="24" max="24" width="13" customWidth="1"/>
    <col min="25" max="25" width="16.28515625" customWidth="1"/>
    <col min="26" max="26" width="12.28515625" customWidth="1"/>
    <col min="27" max="27" width="19.28515625" customWidth="1"/>
    <col min="28" max="28" width="12.7109375" customWidth="1"/>
    <col min="29" max="29" width="19" customWidth="1"/>
    <col min="30" max="30" width="19.7109375" customWidth="1"/>
    <col min="31" max="31" width="14.42578125" customWidth="1"/>
    <col min="32" max="32" width="21.28515625" customWidth="1"/>
    <col min="33" max="33" width="17.7109375" customWidth="1"/>
    <col min="34" max="34" width="14.5703125" customWidth="1"/>
    <col min="35" max="35" width="17.7109375" customWidth="1"/>
    <col min="36" max="45" width="11.5703125" hidden="1" customWidth="1"/>
    <col min="46" max="46" width="0" hidden="1" customWidth="1"/>
    <col min="47" max="47" width="13" customWidth="1"/>
    <col min="49" max="49" width="16.140625" customWidth="1"/>
    <col min="51" max="51" width="14" customWidth="1"/>
    <col min="52" max="52" width="13.140625" customWidth="1"/>
    <col min="53" max="53" width="10.7109375" customWidth="1"/>
    <col min="54" max="54" width="16.28515625" customWidth="1"/>
    <col min="55" max="55" width="10.42578125" customWidth="1"/>
    <col min="57" max="57" width="14.7109375" customWidth="1"/>
    <col min="58" max="58" width="85.85546875" customWidth="1"/>
  </cols>
  <sheetData>
    <row r="8" spans="2:58" ht="15.75" thickBot="1" x14ac:dyDescent="0.3"/>
    <row r="9" spans="2:58" ht="15.75" thickBot="1" x14ac:dyDescent="0.3"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5"/>
      <c r="V9" s="4"/>
      <c r="W9" s="186" t="s">
        <v>2</v>
      </c>
      <c r="X9" s="188" t="s">
        <v>3</v>
      </c>
      <c r="Y9" s="189"/>
      <c r="Z9" s="190" t="s">
        <v>4</v>
      </c>
      <c r="AA9" s="192" t="s">
        <v>5</v>
      </c>
      <c r="AB9" s="193"/>
      <c r="AC9" s="181" t="s">
        <v>6</v>
      </c>
      <c r="AD9" s="182"/>
      <c r="AE9" s="176" t="s">
        <v>7</v>
      </c>
      <c r="AF9" s="177"/>
      <c r="AG9" s="168" t="s">
        <v>8</v>
      </c>
      <c r="AH9" s="169"/>
      <c r="AI9" s="170" t="s">
        <v>9</v>
      </c>
      <c r="AJ9" s="178" t="s">
        <v>10</v>
      </c>
      <c r="AK9" s="179"/>
      <c r="AL9" s="180"/>
      <c r="AM9" s="181" t="s">
        <v>11</v>
      </c>
      <c r="AN9" s="182"/>
      <c r="AO9" s="176" t="s">
        <v>12</v>
      </c>
      <c r="AP9" s="177"/>
      <c r="AQ9" s="168" t="s">
        <v>13</v>
      </c>
      <c r="AR9" s="169"/>
      <c r="AS9" s="170" t="s">
        <v>9</v>
      </c>
      <c r="AT9" s="172" t="s">
        <v>14</v>
      </c>
      <c r="AU9" s="172" t="s">
        <v>15</v>
      </c>
      <c r="AV9" s="174" t="s">
        <v>16</v>
      </c>
      <c r="AW9" s="162" t="s">
        <v>17</v>
      </c>
      <c r="AY9" s="164" t="s">
        <v>18</v>
      </c>
      <c r="AZ9" s="164" t="s">
        <v>19</v>
      </c>
      <c r="BA9" s="164" t="s">
        <v>20</v>
      </c>
      <c r="BB9" s="164" t="s">
        <v>21</v>
      </c>
      <c r="BC9" s="194" t="s">
        <v>22</v>
      </c>
      <c r="BD9" s="5"/>
      <c r="BE9" s="162" t="s">
        <v>23</v>
      </c>
      <c r="BF9" s="162" t="s">
        <v>24</v>
      </c>
    </row>
    <row r="10" spans="2:58" ht="90.75" thickBot="1" x14ac:dyDescent="0.3">
      <c r="C10" s="6" t="s">
        <v>25</v>
      </c>
      <c r="D10" s="7"/>
      <c r="E10" s="7" t="s">
        <v>26</v>
      </c>
      <c r="F10" s="7" t="s">
        <v>27</v>
      </c>
      <c r="G10" s="7"/>
      <c r="H10" s="8" t="s">
        <v>28</v>
      </c>
      <c r="I10" s="7" t="s">
        <v>29</v>
      </c>
      <c r="J10" s="7" t="s">
        <v>30</v>
      </c>
      <c r="K10" s="7" t="s">
        <v>31</v>
      </c>
      <c r="L10" s="7" t="s">
        <v>32</v>
      </c>
      <c r="M10" s="7" t="s">
        <v>33</v>
      </c>
      <c r="N10" s="7" t="s">
        <v>34</v>
      </c>
      <c r="O10" s="7" t="s">
        <v>35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9" t="s">
        <v>41</v>
      </c>
      <c r="V10" s="10"/>
      <c r="W10" s="187"/>
      <c r="X10" s="11" t="s">
        <v>42</v>
      </c>
      <c r="Y10" s="12" t="s">
        <v>43</v>
      </c>
      <c r="Z10" s="191"/>
      <c r="AA10" s="95" t="s">
        <v>44</v>
      </c>
      <c r="AB10" s="96" t="s">
        <v>45</v>
      </c>
      <c r="AC10" s="97" t="s">
        <v>46</v>
      </c>
      <c r="AD10" s="98" t="s">
        <v>47</v>
      </c>
      <c r="AE10" s="99" t="s">
        <v>48</v>
      </c>
      <c r="AF10" s="99" t="s">
        <v>49</v>
      </c>
      <c r="AG10" s="100" t="s">
        <v>50</v>
      </c>
      <c r="AH10" s="101" t="s">
        <v>51</v>
      </c>
      <c r="AI10" s="171"/>
      <c r="AJ10" s="20" t="s">
        <v>52</v>
      </c>
      <c r="AK10" s="21" t="s">
        <v>53</v>
      </c>
      <c r="AL10" s="22" t="s">
        <v>54</v>
      </c>
      <c r="AM10" s="23" t="s">
        <v>55</v>
      </c>
      <c r="AN10" s="24" t="s">
        <v>56</v>
      </c>
      <c r="AO10" s="25" t="s">
        <v>111</v>
      </c>
      <c r="AP10" s="25" t="s">
        <v>112</v>
      </c>
      <c r="AQ10" s="26" t="s">
        <v>61</v>
      </c>
      <c r="AR10" s="27" t="s">
        <v>62</v>
      </c>
      <c r="AS10" s="171"/>
      <c r="AT10" s="173"/>
      <c r="AU10" s="173"/>
      <c r="AV10" s="175"/>
      <c r="AW10" s="163"/>
      <c r="AX10" s="28"/>
      <c r="AY10" s="165"/>
      <c r="AZ10" s="165"/>
      <c r="BA10" s="165"/>
      <c r="BB10" s="165"/>
      <c r="BC10" s="195"/>
      <c r="BD10" s="5"/>
      <c r="BE10" s="163"/>
      <c r="BF10" s="163"/>
    </row>
    <row r="11" spans="2:58" x14ac:dyDescent="0.25">
      <c r="C11" s="32"/>
      <c r="D11" s="32"/>
      <c r="E11" s="32"/>
      <c r="F11" s="32"/>
      <c r="G11" s="31"/>
      <c r="H11" s="31"/>
      <c r="I11" s="32"/>
      <c r="J11" s="32"/>
      <c r="K11" s="32"/>
      <c r="L11" s="32"/>
      <c r="M11" s="32"/>
      <c r="N11" s="32"/>
      <c r="O11" s="32"/>
      <c r="P11" s="31"/>
      <c r="Q11" s="31"/>
      <c r="R11" s="32"/>
      <c r="S11" s="31"/>
      <c r="T11" s="32"/>
      <c r="U11" s="33"/>
      <c r="V11" s="5"/>
      <c r="W11" s="32"/>
      <c r="X11" s="5"/>
      <c r="Y11" s="5"/>
      <c r="Z11" s="80"/>
      <c r="AB11" s="32"/>
      <c r="AC11" s="32"/>
      <c r="AD11" s="32"/>
      <c r="AE11" s="32"/>
      <c r="AF11" s="32"/>
      <c r="AG11" s="5"/>
      <c r="AH11" s="81"/>
      <c r="AI11" s="81"/>
    </row>
    <row r="12" spans="2:58" ht="75" x14ac:dyDescent="0.25">
      <c r="B12" s="38">
        <v>40</v>
      </c>
      <c r="C12" s="102" t="s">
        <v>86</v>
      </c>
      <c r="D12" s="102" t="s">
        <v>87</v>
      </c>
      <c r="E12" s="103" t="s">
        <v>88</v>
      </c>
      <c r="F12" s="103" t="s">
        <v>89</v>
      </c>
      <c r="G12" s="103" t="s">
        <v>89</v>
      </c>
      <c r="H12" s="104" t="s">
        <v>75</v>
      </c>
      <c r="I12" s="39">
        <v>2</v>
      </c>
      <c r="J12" s="39">
        <v>2</v>
      </c>
      <c r="K12" s="39">
        <v>2</v>
      </c>
      <c r="L12" s="39">
        <v>2</v>
      </c>
      <c r="M12" s="39">
        <v>2</v>
      </c>
      <c r="N12" s="39">
        <v>2</v>
      </c>
      <c r="O12" s="39">
        <v>2</v>
      </c>
      <c r="P12" s="39" t="s">
        <v>64</v>
      </c>
      <c r="Q12" s="39" t="s">
        <v>64</v>
      </c>
      <c r="R12" s="39" t="s">
        <v>64</v>
      </c>
      <c r="S12" s="39" t="s">
        <v>64</v>
      </c>
      <c r="T12" s="39" t="s">
        <v>64</v>
      </c>
      <c r="U12" s="40"/>
      <c r="V12" s="41">
        <f>+COUNT(I12:U12)*2</f>
        <v>14</v>
      </c>
      <c r="W12" s="105">
        <f>+IF(COUNTIF(I12:T12,1)&gt;0,1,2)</f>
        <v>2</v>
      </c>
      <c r="X12" s="106"/>
      <c r="Y12" s="106"/>
      <c r="Z12" s="107"/>
      <c r="AA12" s="108">
        <v>3</v>
      </c>
      <c r="AB12" s="108">
        <v>3</v>
      </c>
      <c r="AC12" s="108">
        <v>3</v>
      </c>
      <c r="AD12" s="108">
        <v>3</v>
      </c>
      <c r="AE12" s="108">
        <v>3</v>
      </c>
      <c r="AF12" s="108">
        <v>3</v>
      </c>
      <c r="AG12" s="108">
        <v>4</v>
      </c>
      <c r="AH12" s="108">
        <v>4</v>
      </c>
      <c r="AI12" s="108" t="s">
        <v>65</v>
      </c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9">
        <f>+IFERROR(AVERAGE(AJ12:AR12,AA12:AH12),"")-1</f>
        <v>2.25</v>
      </c>
      <c r="AU12" s="109">
        <f>+IFERROR(AVERAGE(AJ12:AR12,AA12:AH12),"")-1</f>
        <v>2.25</v>
      </c>
      <c r="AV12" s="110">
        <v>2</v>
      </c>
      <c r="AW12" s="109">
        <f>+IF(AND(Z12="",AU12=""),SUM(W12,AV12)/2,IF(Z12=0,SUM(W12,AU12,AV12)/3,IF(AND(W12="",AU12="",AV12=""),Z12,IF(OR(AND(W12="",AU12=""),AND(W12="",AV12=""),(AND(AU12="",AV12=""))),(Z12*0.7+W12*0.3+AU12*0.3+AV12*0.3),IF(OR(W12="",AU12="",AV12=""),(Z12*0.5+W12*0.25+AU12*0.25+AV12*0.25),(Z12*0.4+W12*0.2+AU12*0.2+AV12*0.2))))))</f>
        <v>2.0833333333333335</v>
      </c>
      <c r="AX12" s="111"/>
      <c r="AY12" s="112" t="s">
        <v>1</v>
      </c>
      <c r="AZ12" s="106"/>
      <c r="BA12" s="106"/>
      <c r="BB12" s="106"/>
      <c r="BC12" s="113" t="s">
        <v>68</v>
      </c>
      <c r="BD12" s="114"/>
      <c r="BE12" s="105">
        <v>3</v>
      </c>
      <c r="BF12" s="115" t="s">
        <v>90</v>
      </c>
    </row>
    <row r="13" spans="2:58" ht="18.75" x14ac:dyDescent="0.25">
      <c r="C13" s="116"/>
      <c r="D13" s="116"/>
      <c r="E13" s="116"/>
      <c r="F13" s="116"/>
      <c r="G13" s="116"/>
      <c r="H13" s="116"/>
      <c r="W13" s="114"/>
      <c r="X13" s="114"/>
      <c r="Y13" s="114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8"/>
    </row>
    <row r="14" spans="2:58" ht="63" x14ac:dyDescent="0.25">
      <c r="B14" s="38">
        <v>42</v>
      </c>
      <c r="C14" s="102" t="s">
        <v>91</v>
      </c>
      <c r="D14" s="102" t="s">
        <v>91</v>
      </c>
      <c r="E14" s="103" t="s">
        <v>92</v>
      </c>
      <c r="F14" s="103" t="s">
        <v>93</v>
      </c>
      <c r="G14" s="103" t="s">
        <v>93</v>
      </c>
      <c r="H14" s="104" t="s">
        <v>75</v>
      </c>
      <c r="I14" s="39">
        <v>2</v>
      </c>
      <c r="J14" s="39">
        <v>2</v>
      </c>
      <c r="K14" s="39">
        <v>2</v>
      </c>
      <c r="L14" s="39">
        <v>2</v>
      </c>
      <c r="M14" s="39">
        <v>2</v>
      </c>
      <c r="N14" s="39">
        <v>2</v>
      </c>
      <c r="O14" s="39">
        <v>2</v>
      </c>
      <c r="P14" s="39" t="s">
        <v>64</v>
      </c>
      <c r="Q14" s="39" t="s">
        <v>64</v>
      </c>
      <c r="R14" s="39" t="s">
        <v>64</v>
      </c>
      <c r="S14" s="39" t="s">
        <v>64</v>
      </c>
      <c r="T14" s="39" t="s">
        <v>64</v>
      </c>
      <c r="U14" s="40"/>
      <c r="V14" s="41">
        <f>+COUNT(I14:U14)*2</f>
        <v>14</v>
      </c>
      <c r="W14" s="105">
        <f>+IF(COUNTIF(I14:T14,1)&gt;0,1,2)</f>
        <v>2</v>
      </c>
      <c r="X14" s="119">
        <v>3</v>
      </c>
      <c r="Y14" s="106"/>
      <c r="Z14" s="120">
        <f>+IF(Y14="",X14,Y14)</f>
        <v>3</v>
      </c>
      <c r="AA14" s="108">
        <v>4</v>
      </c>
      <c r="AB14" s="108">
        <v>4</v>
      </c>
      <c r="AC14" s="108">
        <v>3</v>
      </c>
      <c r="AD14" s="108">
        <v>3</v>
      </c>
      <c r="AE14" s="108">
        <v>4</v>
      </c>
      <c r="AF14" s="108">
        <v>3</v>
      </c>
      <c r="AG14" s="108">
        <v>4</v>
      </c>
      <c r="AH14" s="108">
        <v>3</v>
      </c>
      <c r="AI14" s="108" t="s">
        <v>65</v>
      </c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21">
        <f>+IFERROR(AVERAGE(AJ14:AR14,AA14:AH14),"")-1</f>
        <v>2.5</v>
      </c>
      <c r="AU14" s="121">
        <v>3</v>
      </c>
      <c r="AV14" s="110">
        <v>2</v>
      </c>
      <c r="AW14" s="109">
        <f>+IF(AND(Z14="",AU14=""),SUM(W14,AV14)/2,IF(Z14=0,SUM(W14,AU14,AV14)/3,IF(AND(W14="",AU14="",AV14=""),Z14,IF(OR(AND(W14="",AU14=""),AND(W14="",AV14=""),(AND(AU14="",AV14=""))),(Z14*0.7+W14*0.3+AU14*0.3+AV14*0.3),IF(OR(W14="",AU14="",AV14=""),(Z14*0.5+W14*0.25+AU14*0.25+AV14*0.25),(Z14*0.4+W14*0.2+AU14*0.2+AV14*0.2))))))</f>
        <v>2.6</v>
      </c>
      <c r="AX14" s="122"/>
      <c r="AY14" s="106"/>
      <c r="AZ14" s="112" t="s">
        <v>1</v>
      </c>
      <c r="BA14" s="106"/>
      <c r="BB14" s="106"/>
      <c r="BC14" s="113" t="s">
        <v>68</v>
      </c>
      <c r="BD14" s="114"/>
      <c r="BE14" s="105">
        <v>3</v>
      </c>
      <c r="BF14" s="123" t="s">
        <v>94</v>
      </c>
    </row>
    <row r="15" spans="2:58" ht="18.75" x14ac:dyDescent="0.25">
      <c r="C15" s="116"/>
      <c r="D15" s="116"/>
      <c r="E15" s="116"/>
      <c r="F15" s="116"/>
      <c r="G15" s="116"/>
      <c r="H15" s="116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8"/>
    </row>
    <row r="16" spans="2:58" ht="63" x14ac:dyDescent="0.25">
      <c r="B16" s="38">
        <v>57</v>
      </c>
      <c r="C16" s="102" t="s">
        <v>95</v>
      </c>
      <c r="D16" s="102" t="s">
        <v>95</v>
      </c>
      <c r="E16" s="103" t="s">
        <v>96</v>
      </c>
      <c r="F16" s="103" t="s">
        <v>97</v>
      </c>
      <c r="G16" s="103" t="s">
        <v>97</v>
      </c>
      <c r="H16" s="104" t="s">
        <v>75</v>
      </c>
      <c r="I16" s="39">
        <v>2</v>
      </c>
      <c r="J16" s="39">
        <v>2</v>
      </c>
      <c r="K16" s="39">
        <v>2</v>
      </c>
      <c r="L16" s="39">
        <v>2</v>
      </c>
      <c r="M16" s="39">
        <v>2</v>
      </c>
      <c r="N16" s="39">
        <v>2</v>
      </c>
      <c r="O16" s="39">
        <v>2</v>
      </c>
      <c r="P16" s="39" t="s">
        <v>64</v>
      </c>
      <c r="Q16" s="39" t="s">
        <v>64</v>
      </c>
      <c r="R16" s="39" t="s">
        <v>64</v>
      </c>
      <c r="S16" s="39" t="s">
        <v>64</v>
      </c>
      <c r="T16" s="39" t="s">
        <v>64</v>
      </c>
      <c r="U16" s="40"/>
      <c r="V16" s="41">
        <f>+COUNT(I16:U16)*2</f>
        <v>14</v>
      </c>
      <c r="W16" s="105">
        <f>+IF(COUNTIF(I16:T16,1)&gt;0,1,2)</f>
        <v>2</v>
      </c>
      <c r="X16" s="119">
        <v>3</v>
      </c>
      <c r="Y16" s="106"/>
      <c r="Z16" s="120">
        <f>+IF(Y16="",X16,Y16)</f>
        <v>3</v>
      </c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10">
        <v>1.6666666666666667</v>
      </c>
      <c r="AW16" s="109">
        <f>+IF(AND(Z16="",AU16=""),SUM(W16,AV16)/2,IF(Z16=0,SUM(W16,AU16,AV16)/3,IF(AND(W16="",AU16="",AV16=""),Z16,IF(OR(AND(W16="",AU16=""),AND(W16="",AV16=""),(AND(AU16="",AV16=""))),(Z16*0.7+W16*0.3+AU16*0.3+AV16*0.3),IF(OR(W16="",AU16="",AV16=""),(Z16*0.5+W16*0.25+AU16*0.25+AV16*0.25),(Z16*0.4+W16*0.2+AU16*0.2+AV16*0.2))))))</f>
        <v>2.4166666666666665</v>
      </c>
      <c r="AX16" s="111"/>
      <c r="AY16" s="106"/>
      <c r="AZ16" s="106"/>
      <c r="BA16" s="106"/>
      <c r="BB16" s="106"/>
      <c r="BC16" s="113" t="s">
        <v>68</v>
      </c>
      <c r="BD16" s="114"/>
      <c r="BE16" s="105">
        <v>2</v>
      </c>
      <c r="BF16" s="124" t="s">
        <v>98</v>
      </c>
    </row>
    <row r="17" spans="2:58" ht="18.75" x14ac:dyDescent="0.25">
      <c r="C17" s="116"/>
      <c r="D17" s="116"/>
      <c r="E17" s="116"/>
      <c r="F17" s="116"/>
      <c r="G17" s="116"/>
      <c r="H17" s="116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8"/>
    </row>
    <row r="18" spans="2:58" ht="63" x14ac:dyDescent="0.25">
      <c r="B18" s="38">
        <v>69</v>
      </c>
      <c r="C18" s="125" t="s">
        <v>113</v>
      </c>
      <c r="D18" s="102"/>
      <c r="E18" s="103" t="s">
        <v>103</v>
      </c>
      <c r="F18" s="103" t="s">
        <v>104</v>
      </c>
      <c r="G18" s="103"/>
      <c r="H18" s="104" t="s">
        <v>75</v>
      </c>
      <c r="I18" s="39">
        <v>2</v>
      </c>
      <c r="J18" s="39">
        <v>2</v>
      </c>
      <c r="K18" s="39">
        <v>2</v>
      </c>
      <c r="L18" s="39">
        <v>2</v>
      </c>
      <c r="M18" s="39">
        <v>2</v>
      </c>
      <c r="N18" s="39">
        <v>2</v>
      </c>
      <c r="O18" s="39">
        <v>2</v>
      </c>
      <c r="P18" s="39" t="s">
        <v>64</v>
      </c>
      <c r="Q18" s="39" t="s">
        <v>64</v>
      </c>
      <c r="R18" s="39" t="s">
        <v>64</v>
      </c>
      <c r="S18" s="39" t="s">
        <v>64</v>
      </c>
      <c r="T18" s="39" t="s">
        <v>64</v>
      </c>
      <c r="U18" s="40"/>
      <c r="V18" s="41"/>
      <c r="W18" s="105">
        <f>+IF(COUNTIF(I18:T18,1)&gt;0,1,2)</f>
        <v>2</v>
      </c>
      <c r="X18" s="119">
        <v>3</v>
      </c>
      <c r="Y18" s="106"/>
      <c r="Z18" s="120">
        <f>+IF(Y18="",X18,Y18)</f>
        <v>3</v>
      </c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10">
        <v>2</v>
      </c>
      <c r="AW18" s="109">
        <f>+IF(AND(Z18="",AU18=""),SUM(W18,AV18)/2,IF(Z18=0,SUM(W18,AU18,AV18)/3,IF(AND(W18="",AU18="",AV18=""),Z18,IF(OR(AND(W18="",AU18=""),AND(W18="",AV18=""),(AND(AU18="",AV18=""))),(Z18*0.7+W18*0.3+AU18*0.3+AV18*0.3),IF(OR(W18="",AU18="",AV18=""),(Z18*0.5+W18*0.25+AU18*0.25+AV18*0.25),(Z18*0.4+W18*0.2+AU18*0.2+AV18*0.2))))))</f>
        <v>2.5</v>
      </c>
      <c r="AX18" s="111"/>
      <c r="AY18" s="106"/>
      <c r="AZ18" s="106"/>
      <c r="BA18" s="106"/>
      <c r="BB18" s="106"/>
      <c r="BC18" s="113" t="s">
        <v>68</v>
      </c>
      <c r="BD18" s="114"/>
      <c r="BE18" s="105">
        <v>2</v>
      </c>
      <c r="BF18" s="88" t="s">
        <v>85</v>
      </c>
    </row>
  </sheetData>
  <mergeCells count="25">
    <mergeCell ref="AC9:AD9"/>
    <mergeCell ref="I9:U9"/>
    <mergeCell ref="W9:W10"/>
    <mergeCell ref="X9:Y9"/>
    <mergeCell ref="Z9:Z10"/>
    <mergeCell ref="AA9:AB9"/>
    <mergeCell ref="AW9:AW10"/>
    <mergeCell ref="AE9:AF9"/>
    <mergeCell ref="AG9:AH9"/>
    <mergeCell ref="AI9:AI10"/>
    <mergeCell ref="AJ9:AL9"/>
    <mergeCell ref="AM9:AN9"/>
    <mergeCell ref="AO9:AP9"/>
    <mergeCell ref="AQ9:AR9"/>
    <mergeCell ref="AS9:AS10"/>
    <mergeCell ref="AT9:AT10"/>
    <mergeCell ref="AU9:AU10"/>
    <mergeCell ref="AV9:AV10"/>
    <mergeCell ref="BF9:BF10"/>
    <mergeCell ref="AY9:AY10"/>
    <mergeCell ref="AZ9:AZ10"/>
    <mergeCell ref="BA9:BA10"/>
    <mergeCell ref="BB9:BB10"/>
    <mergeCell ref="BC9:BC10"/>
    <mergeCell ref="BE9:BE10"/>
  </mergeCells>
  <conditionalFormatting sqref="I12 L12:R12">
    <cfRule type="containsText" dxfId="149" priority="117" operator="containsText" text="1">
      <formula>NOT(ISERROR(SEARCH("1",I12)))</formula>
    </cfRule>
  </conditionalFormatting>
  <conditionalFormatting sqref="I14 L14:R14">
    <cfRule type="containsText" dxfId="148" priority="87" operator="containsText" text="1">
      <formula>NOT(ISERROR(SEARCH("1",I14)))</formula>
    </cfRule>
  </conditionalFormatting>
  <conditionalFormatting sqref="I16 L16:R16">
    <cfRule type="containsText" dxfId="147" priority="57" operator="containsText" text="1">
      <formula>NOT(ISERROR(SEARCH("1",I16)))</formula>
    </cfRule>
  </conditionalFormatting>
  <conditionalFormatting sqref="I18 L18:R18">
    <cfRule type="containsText" dxfId="146" priority="27" operator="containsText" text="1">
      <formula>NOT(ISERROR(SEARCH("1",I18)))</formula>
    </cfRule>
  </conditionalFormatting>
  <conditionalFormatting sqref="I12:T12">
    <cfRule type="cellIs" dxfId="145" priority="105" operator="equal">
      <formula>1</formula>
    </cfRule>
  </conditionalFormatting>
  <conditionalFormatting sqref="I14:T14">
    <cfRule type="cellIs" dxfId="144" priority="75" operator="equal">
      <formula>1</formula>
    </cfRule>
  </conditionalFormatting>
  <conditionalFormatting sqref="I16:T16">
    <cfRule type="cellIs" dxfId="143" priority="45" operator="equal">
      <formula>1</formula>
    </cfRule>
  </conditionalFormatting>
  <conditionalFormatting sqref="I18:T18">
    <cfRule type="cellIs" dxfId="142" priority="15" operator="equal">
      <formula>1</formula>
    </cfRule>
  </conditionalFormatting>
  <conditionalFormatting sqref="L12">
    <cfRule type="containsText" dxfId="141" priority="103" operator="containsText" text="1">
      <formula>NOT(ISERROR(SEARCH("1",L12)))</formula>
    </cfRule>
    <cfRule type="cellIs" dxfId="140" priority="104" operator="equal">
      <formula>1</formula>
    </cfRule>
    <cfRule type="containsText" dxfId="139" priority="102" operator="containsText" text="1">
      <formula>NOT(ISERROR(SEARCH("1",L12)))</formula>
    </cfRule>
    <cfRule type="cellIs" dxfId="138" priority="101" operator="equal">
      <formula>1.5</formula>
    </cfRule>
  </conditionalFormatting>
  <conditionalFormatting sqref="L14">
    <cfRule type="cellIs" dxfId="137" priority="74" operator="equal">
      <formula>1</formula>
    </cfRule>
    <cfRule type="containsText" dxfId="136" priority="73" operator="containsText" text="1">
      <formula>NOT(ISERROR(SEARCH("1",L14)))</formula>
    </cfRule>
    <cfRule type="containsText" dxfId="135" priority="72" operator="containsText" text="1">
      <formula>NOT(ISERROR(SEARCH("1",L14)))</formula>
    </cfRule>
    <cfRule type="cellIs" dxfId="134" priority="71" operator="equal">
      <formula>1.5</formula>
    </cfRule>
  </conditionalFormatting>
  <conditionalFormatting sqref="L16">
    <cfRule type="containsText" dxfId="133" priority="42" operator="containsText" text="1">
      <formula>NOT(ISERROR(SEARCH("1",L16)))</formula>
    </cfRule>
    <cfRule type="cellIs" dxfId="132" priority="44" operator="equal">
      <formula>1</formula>
    </cfRule>
    <cfRule type="containsText" dxfId="131" priority="43" operator="containsText" text="1">
      <formula>NOT(ISERROR(SEARCH("1",L16)))</formula>
    </cfRule>
    <cfRule type="cellIs" dxfId="130" priority="41" operator="equal">
      <formula>1.5</formula>
    </cfRule>
  </conditionalFormatting>
  <conditionalFormatting sqref="L18">
    <cfRule type="cellIs" dxfId="129" priority="11" operator="equal">
      <formula>1.5</formula>
    </cfRule>
    <cfRule type="cellIs" dxfId="128" priority="14" operator="equal">
      <formula>1</formula>
    </cfRule>
    <cfRule type="containsText" dxfId="127" priority="12" operator="containsText" text="1">
      <formula>NOT(ISERROR(SEARCH("1",L18)))</formula>
    </cfRule>
    <cfRule type="containsText" dxfId="126" priority="13" operator="containsText" text="1">
      <formula>NOT(ISERROR(SEARCH("1",L18)))</formula>
    </cfRule>
  </conditionalFormatting>
  <conditionalFormatting sqref="L12:O12">
    <cfRule type="cellIs" dxfId="125" priority="97" operator="equal">
      <formula>1</formula>
    </cfRule>
  </conditionalFormatting>
  <conditionalFormatting sqref="L14:O14">
    <cfRule type="cellIs" dxfId="124" priority="67" operator="equal">
      <formula>1</formula>
    </cfRule>
  </conditionalFormatting>
  <conditionalFormatting sqref="L16:O16">
    <cfRule type="cellIs" dxfId="123" priority="37" operator="equal">
      <formula>1</formula>
    </cfRule>
  </conditionalFormatting>
  <conditionalFormatting sqref="L18:O18">
    <cfRule type="cellIs" dxfId="122" priority="7" operator="equal">
      <formula>1</formula>
    </cfRule>
  </conditionalFormatting>
  <conditionalFormatting sqref="L12:Q12">
    <cfRule type="cellIs" dxfId="121" priority="118" operator="equal">
      <formula>1</formula>
    </cfRule>
    <cfRule type="containsText" dxfId="120" priority="120" operator="containsText" text="1">
      <formula>NOT(ISERROR(SEARCH("1",L12)))</formula>
    </cfRule>
    <cfRule type="containsText" dxfId="119" priority="119" operator="containsText" text="1">
      <formula>NOT(ISERROR(SEARCH("1",L12)))</formula>
    </cfRule>
  </conditionalFormatting>
  <conditionalFormatting sqref="L14:Q14">
    <cfRule type="containsText" dxfId="118" priority="90" operator="containsText" text="1">
      <formula>NOT(ISERROR(SEARCH("1",L14)))</formula>
    </cfRule>
    <cfRule type="containsText" dxfId="117" priority="89" operator="containsText" text="1">
      <formula>NOT(ISERROR(SEARCH("1",L14)))</formula>
    </cfRule>
    <cfRule type="cellIs" dxfId="116" priority="88" operator="equal">
      <formula>1</formula>
    </cfRule>
  </conditionalFormatting>
  <conditionalFormatting sqref="L16:Q16">
    <cfRule type="containsText" dxfId="115" priority="59" operator="containsText" text="1">
      <formula>NOT(ISERROR(SEARCH("1",L16)))</formula>
    </cfRule>
    <cfRule type="cellIs" dxfId="114" priority="58" operator="equal">
      <formula>1</formula>
    </cfRule>
    <cfRule type="containsText" dxfId="113" priority="60" operator="containsText" text="1">
      <formula>NOT(ISERROR(SEARCH("1",L16)))</formula>
    </cfRule>
  </conditionalFormatting>
  <conditionalFormatting sqref="L18:Q18">
    <cfRule type="cellIs" dxfId="112" priority="28" operator="equal">
      <formula>1</formula>
    </cfRule>
    <cfRule type="containsText" dxfId="111" priority="29" operator="containsText" text="1">
      <formula>NOT(ISERROR(SEARCH("1",L18)))</formula>
    </cfRule>
    <cfRule type="containsText" dxfId="110" priority="30" operator="containsText" text="1">
      <formula>NOT(ISERROR(SEARCH("1",L18)))</formula>
    </cfRule>
  </conditionalFormatting>
  <conditionalFormatting sqref="L12:T12 I12">
    <cfRule type="containsText" dxfId="109" priority="116" operator="containsText" text="1">
      <formula>NOT(ISERROR(SEARCH("1",I12)))</formula>
    </cfRule>
  </conditionalFormatting>
  <conditionalFormatting sqref="L12:T12">
    <cfRule type="containsText" dxfId="108" priority="109" operator="containsText" text="1">
      <formula>NOT(ISERROR(SEARCH("1",L12)))</formula>
    </cfRule>
    <cfRule type="containsText" dxfId="107" priority="110" operator="containsText" text="1">
      <formula>NOT(ISERROR(SEARCH("1",L12)))</formula>
    </cfRule>
    <cfRule type="cellIs" dxfId="106" priority="111" operator="equal">
      <formula>1</formula>
    </cfRule>
  </conditionalFormatting>
  <conditionalFormatting sqref="L14:T14 I14">
    <cfRule type="containsText" dxfId="105" priority="86" operator="containsText" text="1">
      <formula>NOT(ISERROR(SEARCH("1",I14)))</formula>
    </cfRule>
  </conditionalFormatting>
  <conditionalFormatting sqref="L14:T14">
    <cfRule type="containsText" dxfId="104" priority="79" operator="containsText" text="1">
      <formula>NOT(ISERROR(SEARCH("1",L14)))</formula>
    </cfRule>
    <cfRule type="containsText" dxfId="103" priority="80" operator="containsText" text="1">
      <formula>NOT(ISERROR(SEARCH("1",L14)))</formula>
    </cfRule>
    <cfRule type="cellIs" dxfId="102" priority="81" operator="equal">
      <formula>1</formula>
    </cfRule>
  </conditionalFormatting>
  <conditionalFormatting sqref="L16:T16 I16">
    <cfRule type="containsText" dxfId="101" priority="56" operator="containsText" text="1">
      <formula>NOT(ISERROR(SEARCH("1",I16)))</formula>
    </cfRule>
  </conditionalFormatting>
  <conditionalFormatting sqref="L16:T16">
    <cfRule type="cellIs" dxfId="100" priority="51" operator="equal">
      <formula>1</formula>
    </cfRule>
    <cfRule type="containsText" dxfId="99" priority="50" operator="containsText" text="1">
      <formula>NOT(ISERROR(SEARCH("1",L16)))</formula>
    </cfRule>
    <cfRule type="containsText" dxfId="98" priority="49" operator="containsText" text="1">
      <formula>NOT(ISERROR(SEARCH("1",L16)))</formula>
    </cfRule>
  </conditionalFormatting>
  <conditionalFormatting sqref="L18:T18 I18">
    <cfRule type="containsText" dxfId="97" priority="26" operator="containsText" text="1">
      <formula>NOT(ISERROR(SEARCH("1",I18)))</formula>
    </cfRule>
  </conditionalFormatting>
  <conditionalFormatting sqref="L18:T18">
    <cfRule type="containsText" dxfId="96" priority="20" operator="containsText" text="1">
      <formula>NOT(ISERROR(SEARCH("1",L18)))</formula>
    </cfRule>
    <cfRule type="containsText" dxfId="95" priority="19" operator="containsText" text="1">
      <formula>NOT(ISERROR(SEARCH("1",L18)))</formula>
    </cfRule>
    <cfRule type="cellIs" dxfId="94" priority="21" operator="equal">
      <formula>1</formula>
    </cfRule>
  </conditionalFormatting>
  <conditionalFormatting sqref="M12:O12">
    <cfRule type="containsText" dxfId="93" priority="98" operator="containsText" text="1">
      <formula>NOT(ISERROR(SEARCH("1",M12)))</formula>
    </cfRule>
    <cfRule type="cellIs" dxfId="92" priority="100" operator="equal">
      <formula>1</formula>
    </cfRule>
    <cfRule type="containsText" dxfId="91" priority="99" operator="containsText" text="1">
      <formula>NOT(ISERROR(SEARCH("1",M12)))</formula>
    </cfRule>
  </conditionalFormatting>
  <conditionalFormatting sqref="M14:O14">
    <cfRule type="cellIs" dxfId="90" priority="70" operator="equal">
      <formula>1</formula>
    </cfRule>
    <cfRule type="containsText" dxfId="89" priority="68" operator="containsText" text="1">
      <formula>NOT(ISERROR(SEARCH("1",M14)))</formula>
    </cfRule>
    <cfRule type="containsText" dxfId="88" priority="69" operator="containsText" text="1">
      <formula>NOT(ISERROR(SEARCH("1",M14)))</formula>
    </cfRule>
  </conditionalFormatting>
  <conditionalFormatting sqref="M16:O16">
    <cfRule type="containsText" dxfId="87" priority="39" operator="containsText" text="1">
      <formula>NOT(ISERROR(SEARCH("1",M16)))</formula>
    </cfRule>
    <cfRule type="cellIs" dxfId="86" priority="40" operator="equal">
      <formula>1</formula>
    </cfRule>
    <cfRule type="containsText" dxfId="85" priority="38" operator="containsText" text="1">
      <formula>NOT(ISERROR(SEARCH("1",M16)))</formula>
    </cfRule>
  </conditionalFormatting>
  <conditionalFormatting sqref="M18:O18">
    <cfRule type="containsText" dxfId="84" priority="9" operator="containsText" text="1">
      <formula>NOT(ISERROR(SEARCH("1",M18)))</formula>
    </cfRule>
    <cfRule type="cellIs" dxfId="83" priority="10" operator="equal">
      <formula>1</formula>
    </cfRule>
    <cfRule type="containsText" dxfId="82" priority="8" operator="containsText" text="1">
      <formula>NOT(ISERROR(SEARCH("1",M18)))</formula>
    </cfRule>
  </conditionalFormatting>
  <conditionalFormatting sqref="P12:T12">
    <cfRule type="containsText" dxfId="81" priority="94" operator="containsText" text="1">
      <formula>NOT(ISERROR(SEARCH("1",P12)))</formula>
    </cfRule>
    <cfRule type="containsText" dxfId="80" priority="95" operator="containsText" text="1">
      <formula>NOT(ISERROR(SEARCH("1",P12)))</formula>
    </cfRule>
    <cfRule type="cellIs" dxfId="79" priority="96" operator="equal">
      <formula>1</formula>
    </cfRule>
  </conditionalFormatting>
  <conditionalFormatting sqref="P14:T14">
    <cfRule type="cellIs" dxfId="78" priority="66" operator="equal">
      <formula>1</formula>
    </cfRule>
    <cfRule type="containsText" dxfId="77" priority="65" operator="containsText" text="1">
      <formula>NOT(ISERROR(SEARCH("1",P14)))</formula>
    </cfRule>
    <cfRule type="containsText" dxfId="76" priority="64" operator="containsText" text="1">
      <formula>NOT(ISERROR(SEARCH("1",P14)))</formula>
    </cfRule>
  </conditionalFormatting>
  <conditionalFormatting sqref="P16:T16">
    <cfRule type="containsText" dxfId="75" priority="34" operator="containsText" text="1">
      <formula>NOT(ISERROR(SEARCH("1",P16)))</formula>
    </cfRule>
    <cfRule type="cellIs" dxfId="74" priority="36" operator="equal">
      <formula>1</formula>
    </cfRule>
    <cfRule type="containsText" dxfId="73" priority="35" operator="containsText" text="1">
      <formula>NOT(ISERROR(SEARCH("1",P16)))</formula>
    </cfRule>
  </conditionalFormatting>
  <conditionalFormatting sqref="P18:T18">
    <cfRule type="containsText" dxfId="72" priority="5" operator="containsText" text="1">
      <formula>NOT(ISERROR(SEARCH("1",P18)))</formula>
    </cfRule>
    <cfRule type="containsText" dxfId="71" priority="4" operator="containsText" text="1">
      <formula>NOT(ISERROR(SEARCH("1",P18)))</formula>
    </cfRule>
    <cfRule type="cellIs" dxfId="70" priority="6" operator="equal">
      <formula>1</formula>
    </cfRule>
  </conditionalFormatting>
  <conditionalFormatting sqref="T12">
    <cfRule type="containsText" dxfId="69" priority="107" operator="containsText" text="1">
      <formula>NOT(ISERROR(SEARCH("1",T12)))</formula>
    </cfRule>
    <cfRule type="cellIs" dxfId="68" priority="108" operator="equal">
      <formula>1</formula>
    </cfRule>
    <cfRule type="containsText" dxfId="67" priority="106" operator="containsText" text="1">
      <formula>NOT(ISERROR(SEARCH("1",T12)))</formula>
    </cfRule>
  </conditionalFormatting>
  <conditionalFormatting sqref="T14">
    <cfRule type="cellIs" dxfId="66" priority="78" operator="equal">
      <formula>1</formula>
    </cfRule>
    <cfRule type="containsText" dxfId="65" priority="76" operator="containsText" text="1">
      <formula>NOT(ISERROR(SEARCH("1",T14)))</formula>
    </cfRule>
    <cfRule type="containsText" dxfId="64" priority="77" operator="containsText" text="1">
      <formula>NOT(ISERROR(SEARCH("1",T14)))</formula>
    </cfRule>
  </conditionalFormatting>
  <conditionalFormatting sqref="T16">
    <cfRule type="cellIs" dxfId="63" priority="48" operator="equal">
      <formula>1</formula>
    </cfRule>
    <cfRule type="containsText" dxfId="62" priority="46" operator="containsText" text="1">
      <formula>NOT(ISERROR(SEARCH("1",T16)))</formula>
    </cfRule>
    <cfRule type="containsText" dxfId="61" priority="47" operator="containsText" text="1">
      <formula>NOT(ISERROR(SEARCH("1",T16)))</formula>
    </cfRule>
  </conditionalFormatting>
  <conditionalFormatting sqref="T18">
    <cfRule type="cellIs" dxfId="60" priority="18" operator="equal">
      <formula>1</formula>
    </cfRule>
    <cfRule type="containsText" dxfId="59" priority="17" operator="containsText" text="1">
      <formula>NOT(ISERROR(SEARCH("1",T18)))</formula>
    </cfRule>
    <cfRule type="containsText" dxfId="58" priority="16" operator="containsText" text="1">
      <formula>NOT(ISERROR(SEARCH("1",T18)))</formula>
    </cfRule>
  </conditionalFormatting>
  <conditionalFormatting sqref="W12">
    <cfRule type="containsText" dxfId="57" priority="114" operator="containsText" text="1">
      <formula>NOT(ISERROR(SEARCH("1",W12)))</formula>
    </cfRule>
    <cfRule type="cellIs" dxfId="56" priority="115" operator="equal">
      <formula>1</formula>
    </cfRule>
  </conditionalFormatting>
  <conditionalFormatting sqref="W14">
    <cfRule type="containsText" dxfId="55" priority="84" operator="containsText" text="1">
      <formula>NOT(ISERROR(SEARCH("1",W14)))</formula>
    </cfRule>
    <cfRule type="cellIs" dxfId="54" priority="85" operator="equal">
      <formula>1</formula>
    </cfRule>
  </conditionalFormatting>
  <conditionalFormatting sqref="W16">
    <cfRule type="cellIs" dxfId="53" priority="55" operator="equal">
      <formula>1</formula>
    </cfRule>
    <cfRule type="containsText" dxfId="52" priority="54" operator="containsText" text="1">
      <formula>NOT(ISERROR(SEARCH("1",W16)))</formula>
    </cfRule>
  </conditionalFormatting>
  <conditionalFormatting sqref="W18">
    <cfRule type="cellIs" dxfId="51" priority="25" operator="equal">
      <formula>1</formula>
    </cfRule>
    <cfRule type="containsText" dxfId="50" priority="24" operator="containsText" text="1">
      <formula>NOT(ISERROR(SEARCH("1",W18)))</formula>
    </cfRule>
  </conditionalFormatting>
  <conditionalFormatting sqref="AV12">
    <cfRule type="cellIs" dxfId="49" priority="92" operator="lessThan">
      <formula>1.5</formula>
    </cfRule>
    <cfRule type="cellIs" dxfId="48" priority="93" operator="equal">
      <formula>1</formula>
    </cfRule>
  </conditionalFormatting>
  <conditionalFormatting sqref="AV14">
    <cfRule type="cellIs" dxfId="47" priority="62" operator="lessThan">
      <formula>1.5</formula>
    </cfRule>
    <cfRule type="cellIs" dxfId="46" priority="63" operator="equal">
      <formula>1</formula>
    </cfRule>
  </conditionalFormatting>
  <conditionalFormatting sqref="AV16">
    <cfRule type="cellIs" dxfId="45" priority="33" operator="equal">
      <formula>1</formula>
    </cfRule>
    <cfRule type="cellIs" dxfId="44" priority="32" operator="lessThan">
      <formula>1.5</formula>
    </cfRule>
  </conditionalFormatting>
  <conditionalFormatting sqref="AV18">
    <cfRule type="cellIs" dxfId="43" priority="3" operator="equal">
      <formula>1</formula>
    </cfRule>
    <cfRule type="cellIs" dxfId="42" priority="2" operator="lessThan">
      <formula>1.5</formula>
    </cfRule>
  </conditionalFormatting>
  <conditionalFormatting sqref="AW12">
    <cfRule type="cellIs" dxfId="41" priority="91" operator="lessThan">
      <formula>1.6</formula>
    </cfRule>
  </conditionalFormatting>
  <conditionalFormatting sqref="AW14">
    <cfRule type="cellIs" dxfId="40" priority="61" operator="lessThan">
      <formula>1.6</formula>
    </cfRule>
  </conditionalFormatting>
  <conditionalFormatting sqref="AW16">
    <cfRule type="cellIs" dxfId="39" priority="31" operator="lessThan">
      <formula>1.6</formula>
    </cfRule>
  </conditionalFormatting>
  <conditionalFormatting sqref="AW18">
    <cfRule type="cellIs" dxfId="38" priority="1" operator="lessThan">
      <formula>1.6</formula>
    </cfRule>
  </conditionalFormatting>
  <conditionalFormatting sqref="BE12">
    <cfRule type="containsText" dxfId="37" priority="112" operator="containsText" text="4">
      <formula>NOT(ISERROR(SEARCH("4",BE12)))</formula>
    </cfRule>
    <cfRule type="containsText" dxfId="36" priority="113" operator="containsText" text="1">
      <formula>NOT(ISERROR(SEARCH("1",BE12)))</formula>
    </cfRule>
  </conditionalFormatting>
  <conditionalFormatting sqref="BE14">
    <cfRule type="containsText" dxfId="35" priority="82" operator="containsText" text="4">
      <formula>NOT(ISERROR(SEARCH("4",BE14)))</formula>
    </cfRule>
    <cfRule type="containsText" dxfId="34" priority="83" operator="containsText" text="1">
      <formula>NOT(ISERROR(SEARCH("1",BE14)))</formula>
    </cfRule>
  </conditionalFormatting>
  <conditionalFormatting sqref="BE16">
    <cfRule type="containsText" dxfId="33" priority="52" operator="containsText" text="4">
      <formula>NOT(ISERROR(SEARCH("4",BE16)))</formula>
    </cfRule>
    <cfRule type="containsText" dxfId="32" priority="53" operator="containsText" text="1">
      <formula>NOT(ISERROR(SEARCH("1",BE16)))</formula>
    </cfRule>
  </conditionalFormatting>
  <conditionalFormatting sqref="BE18">
    <cfRule type="containsText" dxfId="31" priority="23" operator="containsText" text="1">
      <formula>NOT(ISERROR(SEARCH("1",BE18)))</formula>
    </cfRule>
    <cfRule type="containsText" dxfId="30" priority="22" operator="containsText" text="4">
      <formula>NOT(ISERROR(SEARCH("4",BE18)))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55B4-29BA-44CB-B0B2-0A02E0091351}">
  <sheetPr>
    <tabColor rgb="FF92D050"/>
  </sheetPr>
  <dimension ref="B8:BF13"/>
  <sheetViews>
    <sheetView showGridLines="0" zoomScale="70" zoomScaleNormal="80" workbookViewId="0">
      <selection activeCell="Z26" sqref="Z26"/>
    </sheetView>
  </sheetViews>
  <sheetFormatPr baseColWidth="10" defaultRowHeight="15" x14ac:dyDescent="0.25"/>
  <cols>
    <col min="2" max="2" width="5.140625" style="1" customWidth="1"/>
    <col min="3" max="3" width="17.85546875" customWidth="1"/>
    <col min="4" max="4" width="22.5703125" hidden="1" customWidth="1"/>
    <col min="5" max="7" width="11.5703125" hidden="1" customWidth="1"/>
    <col min="8" max="8" width="15.5703125" customWidth="1"/>
    <col min="9" max="9" width="11.5703125" hidden="1" customWidth="1"/>
    <col min="10" max="10" width="18.85546875" hidden="1" customWidth="1"/>
    <col min="11" max="12" width="16" hidden="1" customWidth="1"/>
    <col min="13" max="13" width="15.5703125" hidden="1" customWidth="1"/>
    <col min="14" max="14" width="16" hidden="1" customWidth="1"/>
    <col min="15" max="15" width="15.7109375" hidden="1" customWidth="1"/>
    <col min="16" max="16" width="11.5703125" hidden="1" customWidth="1"/>
    <col min="17" max="17" width="17.42578125" hidden="1" customWidth="1"/>
    <col min="18" max="18" width="7.28515625" hidden="1" customWidth="1"/>
    <col min="19" max="19" width="16.7109375" hidden="1" customWidth="1"/>
    <col min="20" max="20" width="17" hidden="1" customWidth="1"/>
    <col min="21" max="22" width="0" hidden="1" customWidth="1"/>
    <col min="23" max="23" width="16.140625" customWidth="1"/>
    <col min="24" max="24" width="17.5703125" customWidth="1"/>
    <col min="25" max="25" width="18" customWidth="1"/>
    <col min="26" max="26" width="14.7109375" customWidth="1"/>
    <col min="27" max="30" width="0" hidden="1" customWidth="1"/>
    <col min="31" max="31" width="18.28515625" hidden="1" customWidth="1"/>
    <col min="32" max="32" width="0" hidden="1" customWidth="1"/>
    <col min="33" max="33" width="15" hidden="1" customWidth="1"/>
    <col min="34" max="34" width="14.5703125" hidden="1" customWidth="1"/>
    <col min="35" max="35" width="66.5703125" hidden="1" customWidth="1"/>
    <col min="36" max="47" width="0" hidden="1" customWidth="1"/>
    <col min="49" max="49" width="16.140625" customWidth="1"/>
    <col min="52" max="52" width="13.42578125" customWidth="1"/>
    <col min="53" max="53" width="9.85546875" customWidth="1"/>
    <col min="54" max="54" width="15.85546875" customWidth="1"/>
    <col min="55" max="55" width="9.7109375" customWidth="1"/>
    <col min="57" max="57" width="16.85546875" customWidth="1"/>
    <col min="58" max="58" width="70" customWidth="1"/>
  </cols>
  <sheetData>
    <row r="8" spans="2:58" ht="15.75" thickBot="1" x14ac:dyDescent="0.3"/>
    <row r="9" spans="2:58" ht="15.75" thickBot="1" x14ac:dyDescent="0.3"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5"/>
      <c r="V9" s="4"/>
      <c r="W9" s="186" t="s">
        <v>2</v>
      </c>
      <c r="X9" s="188" t="s">
        <v>3</v>
      </c>
      <c r="Y9" s="189"/>
      <c r="Z9" s="190" t="s">
        <v>4</v>
      </c>
      <c r="AA9" s="211" t="s">
        <v>5</v>
      </c>
      <c r="AB9" s="212"/>
      <c r="AC9" s="209" t="s">
        <v>6</v>
      </c>
      <c r="AD9" s="210"/>
      <c r="AE9" s="204" t="s">
        <v>7</v>
      </c>
      <c r="AF9" s="205"/>
      <c r="AG9" s="198" t="s">
        <v>8</v>
      </c>
      <c r="AH9" s="199"/>
      <c r="AI9" s="200" t="s">
        <v>9</v>
      </c>
      <c r="AJ9" s="206" t="s">
        <v>10</v>
      </c>
      <c r="AK9" s="207"/>
      <c r="AL9" s="208"/>
      <c r="AM9" s="209" t="s">
        <v>11</v>
      </c>
      <c r="AN9" s="210"/>
      <c r="AO9" s="204" t="s">
        <v>12</v>
      </c>
      <c r="AP9" s="205"/>
      <c r="AQ9" s="198" t="s">
        <v>13</v>
      </c>
      <c r="AR9" s="199"/>
      <c r="AS9" s="200" t="s">
        <v>9</v>
      </c>
      <c r="AT9" s="202" t="s">
        <v>14</v>
      </c>
      <c r="AU9" s="202" t="s">
        <v>15</v>
      </c>
      <c r="AV9" s="174" t="s">
        <v>16</v>
      </c>
      <c r="AW9" s="162" t="s">
        <v>17</v>
      </c>
      <c r="AY9" s="164" t="s">
        <v>18</v>
      </c>
      <c r="AZ9" s="164" t="s">
        <v>19</v>
      </c>
      <c r="BA9" s="164" t="s">
        <v>20</v>
      </c>
      <c r="BB9" s="164" t="s">
        <v>21</v>
      </c>
      <c r="BC9" s="194" t="s">
        <v>22</v>
      </c>
      <c r="BD9" s="5"/>
      <c r="BE9" s="162" t="s">
        <v>23</v>
      </c>
      <c r="BF9" s="162" t="s">
        <v>24</v>
      </c>
    </row>
    <row r="10" spans="2:58" ht="90.75" thickBot="1" x14ac:dyDescent="0.3">
      <c r="C10" s="6" t="s">
        <v>25</v>
      </c>
      <c r="D10" s="7"/>
      <c r="E10" s="7" t="s">
        <v>26</v>
      </c>
      <c r="F10" s="7" t="s">
        <v>27</v>
      </c>
      <c r="G10" s="7"/>
      <c r="H10" s="8" t="s">
        <v>28</v>
      </c>
      <c r="I10" s="7" t="s">
        <v>29</v>
      </c>
      <c r="J10" s="7" t="s">
        <v>30</v>
      </c>
      <c r="K10" s="7" t="s">
        <v>31</v>
      </c>
      <c r="L10" s="7" t="s">
        <v>32</v>
      </c>
      <c r="M10" s="7" t="s">
        <v>33</v>
      </c>
      <c r="N10" s="7" t="s">
        <v>34</v>
      </c>
      <c r="O10" s="7" t="s">
        <v>35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9" t="s">
        <v>41</v>
      </c>
      <c r="V10" s="10"/>
      <c r="W10" s="187"/>
      <c r="X10" s="11" t="s">
        <v>42</v>
      </c>
      <c r="Y10" s="12" t="s">
        <v>43</v>
      </c>
      <c r="Z10" s="191"/>
      <c r="AA10" s="126" t="s">
        <v>44</v>
      </c>
      <c r="AB10" s="127" t="s">
        <v>45</v>
      </c>
      <c r="AC10" s="128" t="s">
        <v>46</v>
      </c>
      <c r="AD10" s="129" t="s">
        <v>47</v>
      </c>
      <c r="AE10" s="130" t="s">
        <v>48</v>
      </c>
      <c r="AF10" s="130" t="s">
        <v>49</v>
      </c>
      <c r="AG10" s="131" t="s">
        <v>50</v>
      </c>
      <c r="AH10" s="132" t="s">
        <v>51</v>
      </c>
      <c r="AI10" s="201"/>
      <c r="AJ10" s="133" t="s">
        <v>52</v>
      </c>
      <c r="AK10" s="134" t="s">
        <v>53</v>
      </c>
      <c r="AL10" s="135" t="s">
        <v>54</v>
      </c>
      <c r="AM10" s="136" t="s">
        <v>55</v>
      </c>
      <c r="AN10" s="137" t="s">
        <v>56</v>
      </c>
      <c r="AO10" s="138" t="s">
        <v>111</v>
      </c>
      <c r="AP10" s="138" t="s">
        <v>112</v>
      </c>
      <c r="AQ10" s="139" t="s">
        <v>61</v>
      </c>
      <c r="AR10" s="140" t="s">
        <v>62</v>
      </c>
      <c r="AS10" s="201"/>
      <c r="AT10" s="203"/>
      <c r="AU10" s="203"/>
      <c r="AV10" s="175"/>
      <c r="AW10" s="163"/>
      <c r="AX10" s="28"/>
      <c r="AY10" s="165"/>
      <c r="AZ10" s="165"/>
      <c r="BA10" s="165"/>
      <c r="BB10" s="165"/>
      <c r="BC10" s="195"/>
      <c r="BD10" s="5"/>
      <c r="BE10" s="163"/>
      <c r="BF10" s="163"/>
    </row>
    <row r="11" spans="2:58" x14ac:dyDescent="0.25">
      <c r="C11" s="32"/>
      <c r="D11" s="32"/>
      <c r="E11" s="32"/>
      <c r="F11" s="32"/>
      <c r="G11" s="31"/>
      <c r="H11" s="31"/>
      <c r="I11" s="32"/>
      <c r="J11" s="32"/>
      <c r="K11" s="32"/>
      <c r="L11" s="32"/>
      <c r="M11" s="32"/>
      <c r="N11" s="32"/>
      <c r="O11" s="32"/>
      <c r="P11" s="31"/>
      <c r="Q11" s="31"/>
      <c r="R11" s="32"/>
      <c r="S11" s="31"/>
      <c r="T11" s="32"/>
      <c r="U11" s="33"/>
      <c r="V11" s="5"/>
      <c r="W11" s="32"/>
      <c r="X11" s="5"/>
      <c r="Y11" s="5"/>
      <c r="Z11" s="80"/>
      <c r="AB11" s="32"/>
      <c r="AC11" s="32"/>
      <c r="AD11" s="32"/>
      <c r="AE11" s="32"/>
      <c r="AF11" s="32"/>
      <c r="AG11" s="5"/>
      <c r="AH11" s="81"/>
      <c r="AI11" s="81"/>
    </row>
    <row r="12" spans="2:58" ht="38.25" x14ac:dyDescent="0.25">
      <c r="B12" s="38">
        <v>17</v>
      </c>
      <c r="C12" s="56" t="s">
        <v>70</v>
      </c>
      <c r="D12" s="37" t="s">
        <v>71</v>
      </c>
      <c r="E12" s="37" t="s">
        <v>72</v>
      </c>
      <c r="F12" s="37" t="s">
        <v>73</v>
      </c>
      <c r="G12" s="37"/>
      <c r="H12" s="38" t="s">
        <v>67</v>
      </c>
      <c r="I12" s="39">
        <v>2</v>
      </c>
      <c r="J12" s="39">
        <v>2</v>
      </c>
      <c r="K12" s="39">
        <v>2</v>
      </c>
      <c r="L12" s="39">
        <v>2</v>
      </c>
      <c r="M12" s="39">
        <v>2</v>
      </c>
      <c r="N12" s="39">
        <v>2</v>
      </c>
      <c r="O12" s="39">
        <v>2</v>
      </c>
      <c r="P12" s="39" t="s">
        <v>64</v>
      </c>
      <c r="Q12" s="39" t="s">
        <v>64</v>
      </c>
      <c r="R12" s="39" t="s">
        <v>64</v>
      </c>
      <c r="S12" s="39" t="s">
        <v>64</v>
      </c>
      <c r="T12" s="39" t="s">
        <v>64</v>
      </c>
      <c r="U12" s="40"/>
      <c r="V12" s="41">
        <v>14</v>
      </c>
      <c r="W12" s="141">
        <v>2</v>
      </c>
      <c r="X12" s="142"/>
      <c r="Y12" s="143">
        <v>2</v>
      </c>
      <c r="Z12" s="143">
        <v>2</v>
      </c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1">
        <v>2</v>
      </c>
      <c r="AW12" s="141">
        <v>2</v>
      </c>
      <c r="AX12" s="144"/>
      <c r="AY12" s="142"/>
      <c r="AZ12" s="142"/>
      <c r="BA12" s="145" t="s">
        <v>1</v>
      </c>
      <c r="BB12" s="142"/>
      <c r="BC12" s="145" t="s">
        <v>1</v>
      </c>
      <c r="BD12" s="146"/>
      <c r="BE12" s="147">
        <v>3</v>
      </c>
      <c r="BF12" s="94" t="s">
        <v>74</v>
      </c>
    </row>
    <row r="13" spans="2:58" x14ac:dyDescent="0.25">
      <c r="BE13" s="1"/>
    </row>
  </sheetData>
  <mergeCells count="25">
    <mergeCell ref="AC9:AD9"/>
    <mergeCell ref="I9:U9"/>
    <mergeCell ref="W9:W10"/>
    <mergeCell ref="X9:Y9"/>
    <mergeCell ref="Z9:Z10"/>
    <mergeCell ref="AA9:AB9"/>
    <mergeCell ref="AW9:AW10"/>
    <mergeCell ref="AE9:AF9"/>
    <mergeCell ref="AG9:AH9"/>
    <mergeCell ref="AI9:AI10"/>
    <mergeCell ref="AJ9:AL9"/>
    <mergeCell ref="AM9:AN9"/>
    <mergeCell ref="AO9:AP9"/>
    <mergeCell ref="AQ9:AR9"/>
    <mergeCell ref="AS9:AS10"/>
    <mergeCell ref="AT9:AT10"/>
    <mergeCell ref="AU9:AU10"/>
    <mergeCell ref="AV9:AV10"/>
    <mergeCell ref="BF9:BF10"/>
    <mergeCell ref="AY9:AY10"/>
    <mergeCell ref="AZ9:AZ10"/>
    <mergeCell ref="BA9:BA10"/>
    <mergeCell ref="BB9:BB10"/>
    <mergeCell ref="BC9:BC10"/>
    <mergeCell ref="BE9:BE10"/>
  </mergeCells>
  <conditionalFormatting sqref="I12 L12:R12">
    <cfRule type="containsText" dxfId="29" priority="27" operator="containsText" text="1">
      <formula>NOT(ISERROR(SEARCH("1",I12)))</formula>
    </cfRule>
  </conditionalFormatting>
  <conditionalFormatting sqref="I12:T12">
    <cfRule type="cellIs" dxfId="28" priority="15" operator="equal">
      <formula>1</formula>
    </cfRule>
  </conditionalFormatting>
  <conditionalFormatting sqref="L12">
    <cfRule type="cellIs" dxfId="27" priority="11" operator="equal">
      <formula>1.5</formula>
    </cfRule>
    <cfRule type="containsText" dxfId="26" priority="12" operator="containsText" text="1">
      <formula>NOT(ISERROR(SEARCH("1",L12)))</formula>
    </cfRule>
    <cfRule type="containsText" dxfId="25" priority="13" operator="containsText" text="1">
      <formula>NOT(ISERROR(SEARCH("1",L12)))</formula>
    </cfRule>
    <cfRule type="cellIs" dxfId="24" priority="14" operator="equal">
      <formula>1</formula>
    </cfRule>
  </conditionalFormatting>
  <conditionalFormatting sqref="L12:O12">
    <cfRule type="cellIs" dxfId="23" priority="7" operator="equal">
      <formula>1</formula>
    </cfRule>
  </conditionalFormatting>
  <conditionalFormatting sqref="L12:Q12">
    <cfRule type="cellIs" dxfId="22" priority="28" operator="equal">
      <formula>1</formula>
    </cfRule>
    <cfRule type="containsText" dxfId="21" priority="29" operator="containsText" text="1">
      <formula>NOT(ISERROR(SEARCH("1",L12)))</formula>
    </cfRule>
    <cfRule type="containsText" dxfId="20" priority="30" operator="containsText" text="1">
      <formula>NOT(ISERROR(SEARCH("1",L12)))</formula>
    </cfRule>
  </conditionalFormatting>
  <conditionalFormatting sqref="L12:T12 I12">
    <cfRule type="containsText" dxfId="19" priority="26" operator="containsText" text="1">
      <formula>NOT(ISERROR(SEARCH("1",I12)))</formula>
    </cfRule>
  </conditionalFormatting>
  <conditionalFormatting sqref="L12:T12">
    <cfRule type="containsText" dxfId="18" priority="19" operator="containsText" text="1">
      <formula>NOT(ISERROR(SEARCH("1",L12)))</formula>
    </cfRule>
    <cfRule type="containsText" dxfId="17" priority="20" operator="containsText" text="1">
      <formula>NOT(ISERROR(SEARCH("1",L12)))</formula>
    </cfRule>
    <cfRule type="cellIs" dxfId="16" priority="21" operator="equal">
      <formula>1</formula>
    </cfRule>
  </conditionalFormatting>
  <conditionalFormatting sqref="M12:O12">
    <cfRule type="containsText" dxfId="15" priority="8" operator="containsText" text="1">
      <formula>NOT(ISERROR(SEARCH("1",M12)))</formula>
    </cfRule>
    <cfRule type="containsText" dxfId="14" priority="9" operator="containsText" text="1">
      <formula>NOT(ISERROR(SEARCH("1",M12)))</formula>
    </cfRule>
    <cfRule type="cellIs" dxfId="13" priority="10" operator="equal">
      <formula>1</formula>
    </cfRule>
  </conditionalFormatting>
  <conditionalFormatting sqref="P12:T12">
    <cfRule type="containsText" dxfId="12" priority="4" operator="containsText" text="1">
      <formula>NOT(ISERROR(SEARCH("1",P12)))</formula>
    </cfRule>
    <cfRule type="containsText" dxfId="11" priority="5" operator="containsText" text="1">
      <formula>NOT(ISERROR(SEARCH("1",P12)))</formula>
    </cfRule>
    <cfRule type="cellIs" dxfId="10" priority="6" operator="equal">
      <formula>1</formula>
    </cfRule>
  </conditionalFormatting>
  <conditionalFormatting sqref="T12">
    <cfRule type="containsText" dxfId="9" priority="16" operator="containsText" text="1">
      <formula>NOT(ISERROR(SEARCH("1",T12)))</formula>
    </cfRule>
    <cfRule type="containsText" dxfId="8" priority="17" operator="containsText" text="1">
      <formula>NOT(ISERROR(SEARCH("1",T12)))</formula>
    </cfRule>
    <cfRule type="cellIs" dxfId="7" priority="18" operator="equal">
      <formula>1</formula>
    </cfRule>
  </conditionalFormatting>
  <conditionalFormatting sqref="W12">
    <cfRule type="containsText" dxfId="6" priority="24" operator="containsText" text="1">
      <formula>NOT(ISERROR(SEARCH("1",W12)))</formula>
    </cfRule>
    <cfRule type="cellIs" dxfId="5" priority="25" operator="equal">
      <formula>1</formula>
    </cfRule>
  </conditionalFormatting>
  <conditionalFormatting sqref="AV12">
    <cfRule type="cellIs" dxfId="4" priority="2" operator="lessThan">
      <formula>1.5</formula>
    </cfRule>
    <cfRule type="cellIs" dxfId="3" priority="3" operator="equal">
      <formula>1</formula>
    </cfRule>
  </conditionalFormatting>
  <conditionalFormatting sqref="AW12">
    <cfRule type="cellIs" dxfId="2" priority="1" operator="lessThan">
      <formula>1.6</formula>
    </cfRule>
  </conditionalFormatting>
  <conditionalFormatting sqref="BE12">
    <cfRule type="containsText" dxfId="1" priority="22" operator="containsText" text="4">
      <formula>NOT(ISERROR(SEARCH("4",BE12)))</formula>
    </cfRule>
    <cfRule type="containsText" dxfId="0" priority="23" operator="containsText" text="1">
      <formula>NOT(ISERROR(SEARCH("1",BE12)))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Calificaciones</vt:lpstr>
      <vt:lpstr>Tutores --&gt;</vt:lpstr>
      <vt:lpstr>APG</vt:lpstr>
      <vt:lpstr>JBV</vt:lpstr>
      <vt:lpstr>MGP</vt:lpstr>
      <vt:lpstr>OHL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Paniagua</dc:creator>
  <cp:lastModifiedBy>Eduard De La Rocha Fugasot</cp:lastModifiedBy>
  <dcterms:created xsi:type="dcterms:W3CDTF">2015-06-05T18:19:34Z</dcterms:created>
  <dcterms:modified xsi:type="dcterms:W3CDTF">2026-03-02T10:04:09Z</dcterms:modified>
</cp:coreProperties>
</file>