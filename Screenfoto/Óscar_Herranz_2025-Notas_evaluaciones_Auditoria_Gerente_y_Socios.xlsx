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</font>
    <font>
      <name val="Calibri"/>
      <family val="2"/>
      <color rgb="FF00B050"/>
      <sz val="11"/>
      <scheme val="minor"/>
    </font>
  </fonts>
  <fills count="1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gray125">
        <bgColor theme="6" tint="0.3999450666829432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0" fillId="0" borderId="14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/>
    </xf>
    <xf numFmtId="0" fontId="0" fillId="0" borderId="6" pivotButton="0" quotePrefix="0" xfId="0"/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0" fillId="0" borderId="12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12" borderId="5" applyAlignment="1" pivotButton="0" quotePrefix="0" xfId="0">
      <alignment horizontal="center" vertical="center"/>
    </xf>
    <xf numFmtId="0" fontId="5" fillId="12" borderId="6" applyAlignment="1" pivotButton="0" quotePrefix="0" xfId="0">
      <alignment horizontal="center" vertical="center"/>
    </xf>
    <xf numFmtId="0" fontId="5" fillId="12" borderId="7" applyAlignment="1" pivotButton="0" quotePrefix="0" xfId="0">
      <alignment horizontal="center" vertical="center" wrapText="1"/>
    </xf>
    <xf numFmtId="0" fontId="5" fillId="12" borderId="8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12" borderId="9" applyAlignment="1" pivotButton="0" quotePrefix="0" xfId="0">
      <alignment horizontal="center" vertical="center" wrapText="1"/>
    </xf>
    <xf numFmtId="0" fontId="5" fillId="12" borderId="10" applyAlignment="1" pivotButton="0" quotePrefix="0" xfId="0">
      <alignment horizontal="center" vertical="center" wrapText="1"/>
    </xf>
    <xf numFmtId="0" fontId="0" fillId="0" borderId="15" applyAlignment="1" pivotButton="0" quotePrefix="0" xfId="0">
      <alignment vertical="center"/>
    </xf>
    <xf numFmtId="0" fontId="6" fillId="13" borderId="15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center" vertical="center"/>
    </xf>
    <xf numFmtId="1" fontId="3" fillId="0" borderId="15" applyAlignment="1" pivotButton="0" quotePrefix="0" xfId="0">
      <alignment horizontal="center"/>
    </xf>
    <xf numFmtId="0" fontId="0" fillId="14" borderId="0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/>
    </xf>
    <xf numFmtId="0" fontId="3" fillId="2" borderId="16" applyAlignment="1" pivotButton="0" quotePrefix="0" xfId="0">
      <alignment horizontal="center"/>
    </xf>
    <xf numFmtId="0" fontId="3" fillId="14" borderId="0" applyAlignment="1" pivotButton="0" quotePrefix="0" xfId="0">
      <alignment horizontal="center" vertical="center"/>
    </xf>
    <xf numFmtId="164" fontId="3" fillId="0" borderId="17" applyAlignment="1" pivotButton="0" quotePrefix="0" xfId="0">
      <alignment horizontal="right"/>
    </xf>
    <xf numFmtId="2" fontId="3" fillId="0" borderId="1" pivotButton="0" quotePrefix="0" xfId="0"/>
    <xf numFmtId="164" fontId="3" fillId="0" borderId="1" applyAlignment="1" pivotButton="0" quotePrefix="0" xfId="0">
      <alignment horizontal="right"/>
    </xf>
    <xf numFmtId="0" fontId="7" fillId="4" borderId="1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.28515625" customWidth="1" min="4" max="4"/>
    <col width="16.7109375" customWidth="1" min="5" max="5"/>
    <col width="19.140625" customWidth="1" min="6" max="6"/>
    <col width="14.140625" customWidth="1" min="7" max="7"/>
    <col width="14.710937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2.42578125" customWidth="1" min="16" max="16"/>
    <col width="13" customWidth="1" min="17" max="17"/>
    <col width="14.28515625" customWidth="1" min="18" max="18"/>
    <col width="16.28515625" customWidth="1" min="19" max="19"/>
    <col width="111" customWidth="1" min="20" max="20"/>
  </cols>
  <sheetData>
    <row r="1" ht="15.75" customHeight="1">
      <c r="P1" s="1" t="inlineStr">
        <is>
          <t>?</t>
        </is>
      </c>
    </row>
    <row r="2" ht="35.45" customHeight="1">
      <c r="D2" s="2" t="inlineStr">
        <is>
          <t>Nota Formación</t>
        </is>
      </c>
      <c r="E2" s="3" t="inlineStr">
        <is>
          <t>CTP</t>
        </is>
      </c>
      <c r="F2" s="4" t="n"/>
      <c r="G2" s="5" t="inlineStr">
        <is>
          <t>Nota CTP</t>
        </is>
      </c>
      <c r="H2" s="6" t="inlineStr">
        <is>
          <t xml:space="preserve">BLOQUE 1- ENTENDIMIENTO </t>
        </is>
      </c>
      <c r="I2" s="7" t="n"/>
      <c r="J2" s="8" t="inlineStr">
        <is>
          <t>BLOQUE 2- CONTROLES Y RIESGOS</t>
        </is>
      </c>
      <c r="K2" s="7" t="n"/>
      <c r="L2" s="9" t="inlineStr">
        <is>
          <t>BLOQUE 3- D&amp;I</t>
        </is>
      </c>
      <c r="M2" s="7" t="n"/>
      <c r="N2" s="10" t="inlineStr">
        <is>
          <t>BLOQUE 4- FRAUDE</t>
        </is>
      </c>
      <c r="O2" s="7" t="n"/>
      <c r="P2" s="11" t="inlineStr">
        <is>
          <t>Nota INFLIGHT AJUSTADA</t>
        </is>
      </c>
      <c r="Q2" s="12" t="inlineStr">
        <is>
          <t>Firma</t>
        </is>
      </c>
      <c r="R2" s="13" t="inlineStr">
        <is>
          <t>NOTA EVALUACIÓN</t>
        </is>
      </c>
      <c r="S2" s="13" t="inlineStr">
        <is>
          <t>NOTA FINAL CALIDAD</t>
        </is>
      </c>
      <c r="T2" s="13" t="inlineStr">
        <is>
          <t>ASPECTOS IDENTIFICADOS</t>
        </is>
      </c>
    </row>
    <row r="3" ht="66" customHeight="1">
      <c r="A3" s="14" t="inlineStr">
        <is>
          <t>Indice</t>
        </is>
      </c>
      <c r="B3" s="14" t="inlineStr">
        <is>
          <t>Profesional</t>
        </is>
      </c>
      <c r="C3" s="15" t="inlineStr">
        <is>
          <t>Tutor</t>
        </is>
      </c>
      <c r="D3" s="16" t="n"/>
      <c r="E3" s="17" t="inlineStr">
        <is>
          <t>CTP 23/24</t>
        </is>
      </c>
      <c r="F3" s="18" t="inlineStr">
        <is>
          <t>Seguimiento 
Rojos/Naranjas</t>
        </is>
      </c>
      <c r="G3" s="16" t="n"/>
      <c r="H3" s="19" t="inlineStr">
        <is>
          <t>ENTENDIMIENTO</t>
        </is>
      </c>
      <c r="I3" s="20" t="inlineStr">
        <is>
          <t>WT</t>
        </is>
      </c>
      <c r="J3" s="21" t="inlineStr">
        <is>
          <t>IDENTIFICACIÓN RIESGOS</t>
        </is>
      </c>
      <c r="K3" s="22" t="inlineStr">
        <is>
          <t>IDENTIFICACIÓN CONTROLES</t>
        </is>
      </c>
      <c r="L3" s="23" t="inlineStr">
        <is>
          <t>EVALUACIÓN DISEÑO</t>
        </is>
      </c>
      <c r="M3" s="23" t="inlineStr">
        <is>
          <t>EVALUACIÓN IMPLEMENTACIÓN</t>
        </is>
      </c>
      <c r="N3" s="24" t="inlineStr">
        <is>
          <t>JUSTIFICACIÓN</t>
        </is>
      </c>
      <c r="O3" s="25" t="inlineStr">
        <is>
          <t>ANÁLISIS</t>
        </is>
      </c>
      <c r="P3" s="16" t="n"/>
      <c r="Q3" s="16" t="n"/>
      <c r="R3" s="16" t="n"/>
      <c r="S3" s="16" t="n"/>
      <c r="T3" s="16" t="n"/>
    </row>
    <row r="4" ht="55.15" customHeight="1">
      <c r="A4" s="26" t="n">
        <v>17</v>
      </c>
      <c r="B4" s="27" t="inlineStr">
        <is>
          <t>María Grande</t>
        </is>
      </c>
      <c r="C4" s="28" t="inlineStr">
        <is>
          <t>Óscar Herranz</t>
        </is>
      </c>
      <c r="D4" s="29">
        <f>+IF(COUNTIF(J5:U5,1)&gt;0,1,2)</f>
        <v/>
      </c>
      <c r="E4" s="30" t="n"/>
      <c r="F4" s="31" t="n">
        <v>2</v>
      </c>
      <c r="G4" s="32">
        <f>+IF(Z5="",Y5,Z5)</f>
        <v/>
      </c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4" t="n">
        <v>2</v>
      </c>
      <c r="R4" s="35">
        <f>+IF(AND(AA5="",AX5=""),SUM(X5,AY5)/2,IF(AA5=0,SUM(X5,AX5,AY5)/3,IF(AND(X5="",AX5="",AY5=""),AA5,IF(OR(AND(X5="",AX5=""),AND(X5="",AY5=""),(AND(AX5="",AY5=""))),(AA5*0.7+X5*0.3+AX5*0.3+AY5*0.3),IF(OR(X5="",AX5="",AY5=""),(AA5*0.5+X5*0.25+AX5*0.25+AY5*0.25),(AA5*0.4+X5*0.2+AX5*0.2+AY5*0.2))))))</f>
        <v/>
      </c>
      <c r="S4" s="36" t="n">
        <v>3</v>
      </c>
      <c r="T4" s="37" t="inlineStr">
        <is>
          <t>COLABORACIÓN DEPARTAMENTO CALIDAD:
- Participación en el Grupo RCA</t>
        </is>
      </c>
    </row>
  </sheetData>
  <mergeCells count="12">
    <mergeCell ref="L2:M2"/>
    <mergeCell ref="H2:I2"/>
    <mergeCell ref="E2:F2"/>
    <mergeCell ref="J2:K2"/>
    <mergeCell ref="N2:O2"/>
    <mergeCell ref="D2:D3"/>
    <mergeCell ref="Q2:Q3"/>
    <mergeCell ref="T2:T3"/>
    <mergeCell ref="R2:R3"/>
    <mergeCell ref="P2:P3"/>
    <mergeCell ref="S2:S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2026-03-09T08:16:44Z</dcterms:created>
  <dcterms:modified xmlns:dcterms="http://purl.org/dc/terms/" xmlns:xsi="http://www.w3.org/2001/XMLSchema-instance" xsi:type="dcterms:W3CDTF">2026-03-09T08:16:44Z</dcterms:modified>
</cp:coreProperties>
</file>